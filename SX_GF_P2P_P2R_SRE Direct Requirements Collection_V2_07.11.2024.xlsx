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xl/printerSettings/printerSettings3.bin" ContentType="application/vnd.openxmlformats-officedocument.spreadsheetml.printerSettings"/>
  <Override PartName="/xl/printerSettings/printerSettings4.bin" ContentType="application/vnd.openxmlformats-officedocument.spreadsheetml.printerSettings"/>
  <Override PartName="/xl/printerSettings/printerSettings5.bin" ContentType="application/vnd.openxmlformats-officedocument.spreadsheetml.printerSettings"/>
  <Override PartName="/xl/printerSettings/printerSettings6.bin" ContentType="application/vnd.openxmlformats-officedocument.spreadsheetml.printerSettings"/>
  <Override PartName="/xl/printerSettings/printerSettings7.bin" ContentType="application/vnd.openxmlformats-officedocument.spreadsheetml.printerSettings"/>
  <Override PartName="/xl/printerSettings/printerSettings8.bin" ContentType="application/vnd.openxmlformats-officedocument.spreadsheetml.printerSettings"/>
  <Override PartName="/xl/printerSettings/printerSettings9.bin" ContentType="application/vnd.openxmlformats-officedocument.spreadsheetml.printerSettings"/>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rinterSettings/printerSettings10.bin" ContentType="application/vnd.openxmlformats-officedocument.spreadsheetml.printerSettings"/>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z0046d7w\Desktop\"/>
    </mc:Choice>
  </mc:AlternateContent>
  <xr:revisionPtr revIDLastSave="0" documentId="8_{E9196F09-3D5D-4508-AEA8-B4D8F5F0613A}" xr6:coauthVersionLast="47" xr6:coauthVersionMax="47" xr10:uidLastSave="{00000000-0000-0000-0000-000000000000}"/>
  <bookViews>
    <workbookView xWindow="-120" yWindow="-120" windowWidth="51840" windowHeight="21120" tabRatio="819" xr2:uid="{00000000-000D-0000-FFFF-FFFF00000000}"/>
  </bookViews>
  <sheets>
    <sheet name="Overview" sheetId="75" r:id="rId1"/>
    <sheet name="Status" sheetId="91" r:id="rId2"/>
    <sheet name="Actions" sheetId="81" r:id="rId3"/>
    <sheet name="2.1" sheetId="69" r:id="rId4"/>
    <sheet name="2.2" sheetId="89" r:id="rId5"/>
    <sheet name="3.1" sheetId="70" r:id="rId6"/>
    <sheet name="3.2" sheetId="71" r:id="rId7"/>
    <sheet name="3.3" sheetId="72" r:id="rId8"/>
    <sheet name="4.1" sheetId="73" r:id="rId9"/>
    <sheet name="4.2" sheetId="74" r:id="rId10"/>
    <sheet name="5.3" sheetId="77" r:id="rId11"/>
    <sheet name="5.4" sheetId="78" r:id="rId12"/>
    <sheet name="6.5" sheetId="79" r:id="rId13"/>
    <sheet name="Z Fields" sheetId="88" r:id="rId14"/>
    <sheet name="PO Types" sheetId="90" r:id="rId15"/>
    <sheet name="Planning Overview" sheetId="82" r:id="rId16"/>
    <sheet name="Role Definition" sheetId="80" r:id="rId17"/>
    <sheet name="Parking_Lot" sheetId="68" state="hidden" r:id="rId18"/>
    <sheet name="P2P_Experts" sheetId="76" state="hidden" r:id="rId19"/>
    <sheet name="Temp_Supplier_Integration" sheetId="66" state="hidden" r:id="rId20"/>
  </sheets>
  <externalReferences>
    <externalReference r:id="rId21"/>
    <externalReference r:id="rId22"/>
    <externalReference r:id="rId23"/>
    <externalReference r:id="rId24"/>
    <externalReference r:id="rId25"/>
  </externalReferences>
  <definedNames>
    <definedName name="_xlnm._FilterDatabase" localSheetId="3" hidden="1">'2.1'!$B$1:$AL$14</definedName>
    <definedName name="_xlnm._FilterDatabase" localSheetId="4" hidden="1">'2.2'!$B$1:$AK$13</definedName>
    <definedName name="_xlnm._FilterDatabase" localSheetId="5" hidden="1">'3.1'!$B$1:$AK$13</definedName>
    <definedName name="_xlnm._FilterDatabase" localSheetId="6" hidden="1">'3.2'!$B$1:$AK$34</definedName>
    <definedName name="_xlnm._FilterDatabase" localSheetId="7" hidden="1">'3.3'!$B$1:$AK$14</definedName>
    <definedName name="_xlnm._FilterDatabase" localSheetId="8" hidden="1">'4.1'!$B$1:$AK$8</definedName>
    <definedName name="_xlnm._FilterDatabase" localSheetId="9" hidden="1">'4.2'!$B$1:$AK$2</definedName>
    <definedName name="_xlnm._FilterDatabase" localSheetId="10" hidden="1">'5.3'!#REF!</definedName>
    <definedName name="_xlnm._FilterDatabase" localSheetId="11" hidden="1">'5.4'!#REF!</definedName>
    <definedName name="_xlnm._FilterDatabase" localSheetId="12" hidden="1">'6.5'!#REF!</definedName>
    <definedName name="_xlnm._FilterDatabase" localSheetId="19" hidden="1">Temp_Supplier_Integration!$B$2:$R$2</definedName>
    <definedName name="_xlnm._FilterDatabase" localSheetId="13" hidden="1">'Z Fields'!$A$2:$S$26</definedName>
    <definedName name="_FilterDatenbank" localSheetId="7" hidden="1">'3.3'!$B$1:$AK$14</definedName>
    <definedName name="AE_Ben_All">'[1]B-IV - All Else'!$Z$42:$AS$42</definedName>
    <definedName name="AE_CountCost">'[1]DB - Departments'!$F$11:$H$20</definedName>
    <definedName name="AE_DeptList">'[1]DB - Departments'!$B$47:$B$56</definedName>
    <definedName name="AE_DeptList_Code">'[1]DB - Departments'!$B$47:$C$56</definedName>
    <definedName name="AppGrowth">'[1]DB - Cert Growth'!$M$47:$AF$47</definedName>
    <definedName name="Assm_HWSWCost">[1]Assumptions!$B$20</definedName>
    <definedName name="Assm_ImpCont">[1]Assumptions!$B$22</definedName>
    <definedName name="Assm_PayInc">[1]Assumptions!$B$18</definedName>
    <definedName name="Assm_RetBon">'[1]C-V - Other Emp Costs'!$F$47</definedName>
    <definedName name="Assm_SevRate">'[1]C-V - Other Emp Costs'!$G$25</definedName>
    <definedName name="BA_Hourly">[2]Dashboard!$C$20</definedName>
    <definedName name="Ben_Input">'[1]Benefit Input'!$A$10:$Y$76</definedName>
    <definedName name="Ben_Prob">'[1]Benefit Probabilities'!$A$10:$CL$76</definedName>
    <definedName name="BT_Ben_Intfc">'[1]B-II - Bus Tech'!$AO$69:$CB$69</definedName>
    <definedName name="BT_Ben_ModSys">'[1]B-II - Bus Tech'!$AO$73:$CB$73</definedName>
    <definedName name="BT_Ben_PASSuppt">'[1]B-II - Bus Tech'!$AO$67:$CB$67</definedName>
    <definedName name="BT_Ben_SpnCntl">'[1]B-II - Bus Tech'!$AO$75:$CB$75</definedName>
    <definedName name="BT_Ben_TechRat">'[1]B-II - Bus Tech'!$AO$71:$CB$71</definedName>
    <definedName name="BT_DeptList">'[1]DB - Departments'!$B$11:$B$21</definedName>
    <definedName name="BT_DeptList_Code">'[1]DB - Departments'!$B$11:$C$21</definedName>
    <definedName name="BUS_COST_HOUR">[3]Assumptions!$E$9</definedName>
    <definedName name="CertGrowth">'[1]DB - Cert Growth'!$L$10:$BT$21</definedName>
    <definedName name="CertGrowth_Prod">'[1]DB - Cert Growth'!$L$10:$L$21</definedName>
    <definedName name="CertGrowth_YrSys">'[1]DB - Cert Growth'!$L$10:$BT$10</definedName>
    <definedName name="ClaimsGrowth">'[1]DB - Cert Growth'!$M$77:$AF$77</definedName>
    <definedName name="CO_Ben_Auto">'[1]B-III - Core Ops'!$AR$131:$BK$131</definedName>
    <definedName name="CO_Ben_Claims">'[1]B-III - Core Ops'!$AR$135:$BK$135</definedName>
    <definedName name="CO_Ben_CSInt">'[1]B-III - Core Ops'!$AR$133:$BK$133</definedName>
    <definedName name="CO_Ben_OneSys">'[1]B-III - Core Ops'!$AR$129:$BK$129</definedName>
    <definedName name="CO_Ben_OutAuto">'[1]B-III - Core Ops'!$AR$137:$BK$137</definedName>
    <definedName name="CO_Ben_PmtMeth">'[1]B-III - Core Ops'!$AR$139:$BK$139</definedName>
    <definedName name="CO_Ben_SelfSvc">'[1]B-III - Core Ops'!$AR$141:$BK$141</definedName>
    <definedName name="CO_Ben_SpnCntrl">'[1]B-III - Core Ops'!$AR$143:$BK$143</definedName>
    <definedName name="CO_DeptList">'[1]DB - Departments'!$B$23:$B$45</definedName>
    <definedName name="CO_DeptList_Code">'[1]DB - Departments'!$B$23:$C$45</definedName>
    <definedName name="CONTINGENCY">[3]Assumptions!$E$84</definedName>
    <definedName name="Cost_Input">'[1]Cost Input'!$A$11:$Y$66</definedName>
    <definedName name="Cost_Prob">'[1]Cost Probabilities'!$A$10:$CL$60</definedName>
    <definedName name="CSC_Gap_Imp">'[1]V - CSC'!$E$96:$X$96</definedName>
    <definedName name="CSC_Gap_Recur">'[1]V - CSC'!$E$89:$X$89</definedName>
    <definedName name="CSC_OneTime">'[1]V - CSC'!$E$52:$X$52</definedName>
    <definedName name="CSC_Recurring">'[1]V - CSC'!$E$13:$X$13</definedName>
    <definedName name="Dash_Best">OFFSET('[1]Dashboard Input'!$C$9,0,0,,COUNT('[1]Dashboard Input'!$C$9:$V$9))</definedName>
    <definedName name="Dash_Probable">OFFSET('[1]Dashboard Input'!$C$8,0,0,,COUNT('[1]Dashboard Input'!$C$8:$V$8))</definedName>
    <definedName name="Dash_Submitted">OFFSET('[1]Dashboard Input'!$C$6,0,0,,COUNT('[1]Dashboard Input'!$C$6:$V$6))</definedName>
    <definedName name="Dash_Worst">OFFSET('[1]Dashboard Input'!$C$7,0,0,,COUNT('[1]Dashboard Input'!$C$7:$V$7))</definedName>
    <definedName name="DISCOUNT">[3]Assumptions!$E$7</definedName>
    <definedName name="Discount_Rate">[4]Dashboard!$C$10</definedName>
    <definedName name="DiscRate">'[5]Benefit Summary'!$D$5</definedName>
    <definedName name="FIN_Consult">[2]Dashboard!$C$28</definedName>
    <definedName name="FIN_PMO">[2]Dashboard!$C$29</definedName>
    <definedName name="FIN_Training">[2]Dashboard!$C$27</definedName>
    <definedName name="FTE_AE_Total">'[1]B-IV - All Else'!$M$42</definedName>
    <definedName name="FTE_BT_Efcy">'[1]B-II - Bus Tech'!$AF$67</definedName>
    <definedName name="FTE_BT_Suppt">'[1]B-II - Bus Tech'!$I$67</definedName>
    <definedName name="FTE_CO_Efcy">'[1]B-III - Core Ops'!$AF$127</definedName>
    <definedName name="FTE_CO_SpanCntl">'[1]B-III - Core Ops'!$AH$127</definedName>
    <definedName name="Group_GR">[2]Dashboard!$C$13</definedName>
    <definedName name="Hours_Day">[2]Dashboard!$C$30</definedName>
    <definedName name="Hours_Yr">[2]Dashboard!$C$25</definedName>
    <definedName name="InactGrowth">'[1]DB - Cert Growth'!$L$31:$BT$32</definedName>
    <definedName name="InactGrowth_YrSys">'[1]DB - Cert Growth'!$L$31:$BT$31</definedName>
    <definedName name="Ind_GR">[2]Dashboard!$C$12</definedName>
    <definedName name="Infl_Rate">[2]Dashboard!$C$14</definedName>
    <definedName name="InfoMcC_OneTime">'[1]VENDOR - Infosys-McC'!$G$100:$Z$100</definedName>
    <definedName name="InfoMcC_Recurring">'[1]VENDOR - Infosys-McC'!$G$51:$Z$51</definedName>
    <definedName name="IssueGrowth">'[1]DB - Cert Growth'!$M$62:$AF$62</definedName>
    <definedName name="IT_COST_HOUR">[3]Assumptions!$E$8</definedName>
    <definedName name="IT_Hourly">[2]Dashboard!$C$19</definedName>
    <definedName name="NP_Hourly">[2]Dashboard!$C$125</definedName>
    <definedName name="Personel_Hourly">[2]Dashboard!$C$124</definedName>
    <definedName name="PMO_Hourly">[2]Dashboard!$C$21</definedName>
    <definedName name="Rate_AE_All">'[1]DB - Rates, Emp Costs'!$B$39:$D$45</definedName>
    <definedName name="Rate_AE_Role">'[1]DB - Rates, Emp Costs'!$B$39:$B$45</definedName>
    <definedName name="Rate_BT_All">'[1]DB - Rates, Emp Costs'!$B$16:$D$32</definedName>
    <definedName name="Rate_BT_Role">'[1]DB - Rates, Emp Costs'!$B$16:$B$32</definedName>
    <definedName name="Rate_CO_All">'[1]DB - Rates, Emp Costs'!$B$34:$D$37</definedName>
    <definedName name="Rate_CO_Role">'[1]DB - Rates, Emp Costs'!$B$34:$B$37</definedName>
    <definedName name="se2_Gap_Imp">'[1]V - se2'!$E$101:$X$101</definedName>
    <definedName name="se2_Gap_Recur">'[1]V - se2'!$E$95:$X$95</definedName>
    <definedName name="se2_OneTime">'[1]V - se2'!$E$58:$X$58</definedName>
    <definedName name="se2_Recurring">'[1]V - se2'!$E$18:$X$18</definedName>
    <definedName name="Tot_Summary">[1]Summary!$A$12:$CP$140</definedName>
    <definedName name="VendorSelection">[1]Dashboard!$D$31</definedName>
    <definedName name="WACC">[2]WACC!$E$42</definedName>
    <definedName name="xxx" localSheetId="3" hidden="1">'2.1'!#REF!</definedName>
    <definedName name="xxx" localSheetId="5" hidden="1">'3.1'!#REF!</definedName>
    <definedName name="xxx" localSheetId="6" hidden="1">'3.2'!#REF!</definedName>
    <definedName name="xxx" localSheetId="7" hidden="1">'3.3'!#REF!</definedName>
    <definedName name="xxx" localSheetId="8" hidden="1">'4.1'!#REF!</definedName>
    <definedName name="xxx" localSheetId="9" hidden="1">'4.2'!#REF!</definedName>
    <definedName name="xxx" localSheetId="10" hidden="1">'5.3'!#REF!</definedName>
    <definedName name="xxx" localSheetId="11" hidden="1">'5.4'!#REF!</definedName>
    <definedName name="xxx" localSheetId="12" hidden="1">'6.5'!#REF!</definedName>
    <definedName name="xxx" localSheetId="19" hidden="1">Temp_Supplier_Integration!$B$2:$R$2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75" l="1"/>
  <c r="P9" i="75"/>
  <c r="N9" i="75"/>
  <c r="O8" i="75"/>
  <c r="P8" i="75"/>
  <c r="N8" i="75"/>
  <c r="O7" i="75"/>
  <c r="P7" i="75"/>
  <c r="N7" i="75"/>
  <c r="O6" i="75"/>
  <c r="P6" i="75"/>
  <c r="N6" i="75"/>
  <c r="O5" i="75"/>
  <c r="P5" i="75"/>
  <c r="N5" i="75"/>
  <c r="O4" i="75"/>
  <c r="P4" i="75"/>
  <c r="N4" i="75"/>
  <c r="O3" i="75"/>
  <c r="P3" i="75"/>
  <c r="N3" i="75"/>
  <c r="J9" i="75"/>
  <c r="K9" i="75"/>
  <c r="L9" i="75"/>
  <c r="M9" i="75"/>
  <c r="J8" i="75"/>
  <c r="K8" i="75"/>
  <c r="L8" i="75"/>
  <c r="M8" i="75"/>
  <c r="J7" i="75"/>
  <c r="K7" i="75"/>
  <c r="L7" i="75"/>
  <c r="M7" i="75"/>
  <c r="J6" i="75"/>
  <c r="K6" i="75"/>
  <c r="L6" i="75"/>
  <c r="M6" i="75"/>
  <c r="J5" i="75"/>
  <c r="K5" i="75"/>
  <c r="L5" i="75"/>
  <c r="M5" i="75"/>
  <c r="I9" i="75"/>
  <c r="I8" i="75"/>
  <c r="I7" i="75"/>
  <c r="I6" i="75"/>
  <c r="I5" i="75"/>
  <c r="J4" i="75"/>
  <c r="K4" i="75"/>
  <c r="L4" i="75"/>
  <c r="M4" i="75"/>
  <c r="I4" i="75"/>
  <c r="L3" i="75"/>
  <c r="M3" i="75"/>
  <c r="K3" i="75"/>
  <c r="J3" i="75"/>
  <c r="I3" i="75"/>
  <c r="N15" i="75" l="1"/>
  <c r="O15" i="75"/>
  <c r="P15" i="75"/>
  <c r="I15" i="75"/>
  <c r="H7" i="75"/>
  <c r="L15" i="75"/>
  <c r="M15" i="75"/>
  <c r="H6" i="75"/>
  <c r="J15" i="75"/>
  <c r="K15" i="75"/>
  <c r="H8" i="75"/>
  <c r="H9" i="75"/>
  <c r="H5" i="75"/>
  <c r="H4" i="75"/>
  <c r="H3" i="75"/>
  <c r="H15" i="75" l="1"/>
  <c r="Q15" i="7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tc={FB323F3B-57BA-49FB-88C6-D6558F659333}</author>
    <author>tc={012EDAE9-AF55-4235-82DE-ADC494B2BB2B}</author>
    <author>tc={5A88B95B-E6FC-40F3-BB7B-A5D72A72D817}</author>
    <author>tc={6DC0505C-5535-4466-8E16-A60FE481C793}</author>
    <author>tc={69614DE5-D9A2-4817-B3C7-4587BD4CF7F6}</author>
  </authors>
  <commentList>
    <comment ref="K9" authorId="0" shapeId="0" xr:uid="{FB323F3B-57BA-49FB-88C6-D6558F659333}">
      <text>
        <t>[Threaded comment]
Your version of Excel allows you to read this threaded comment; however, any edits to it will get removed if the file is opened in a newer version of Excel. Learn more: https://go.microsoft.com/fwlink/?linkid=870924
Comment:
    Hier stellt sich die Frage nach dem Leading system im Falle von Änderungen</t>
      </text>
    </comment>
    <comment ref="K10" authorId="1" shapeId="0" xr:uid="{012EDAE9-AF55-4235-82DE-ADC494B2BB2B}">
      <text>
        <t>[Threaded comment]
Your version of Excel allows you to read this threaded comment; however, any edits to it will get removed if the file is opened in a newer version of Excel. Learn more: https://go.microsoft.com/fwlink/?linkid=870924
Comment:
    Hier stellt sich die Frage nach dem Leading system im Falle von Änderungen</t>
      </text>
    </comment>
    <comment ref="K12" authorId="2" shapeId="0" xr:uid="{5A88B95B-E6FC-40F3-BB7B-A5D72A72D817}">
      <text>
        <t>[Threaded comment]
Your version of Excel allows you to read this threaded comment; however, any edits to it will get removed if the file is opened in a newer version of Excel. Learn more: https://go.microsoft.com/fwlink/?linkid=870924
Comment:
    Wäre das eine Anforderung von uns. Das kam damals von den Ländern?</t>
      </text>
    </comment>
    <comment ref="K14" authorId="3" shapeId="0" xr:uid="{6DC0505C-5535-4466-8E16-A60FE481C793}">
      <text>
        <t>[Threaded comment]
Your version of Excel allows you to read this threaded comment; however, any edits to it will get removed if the file is opened in a newer version of Excel. Learn more: https://go.microsoft.com/fwlink/?linkid=870924
Comment:
    Sollte eigentlich nicht mehr der USer entscheiden, sondern zentral definiert sein?</t>
      </text>
    </comment>
    <comment ref="K16" authorId="4" shapeId="0" xr:uid="{69614DE5-D9A2-4817-B3C7-4587BD4CF7F6}">
      <text>
        <t>[Threaded comment]
Your version of Excel allows you to read this threaded comment; however, any edits to it will get removed if the file is opened in a newer version of Excel. Learn more: https://go.microsoft.com/fwlink/?linkid=870924
Comment:
    Das war schon immer gelebter Usus, aber bin mir nicht sicher, ob das eine Anforderung sein sollte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tc={63E3BF35-D51F-41DC-A078-4FCE13355B61}</author>
  </authors>
  <commentList>
    <comment ref="K3" authorId="0" shapeId="0" xr:uid="{63E3BF35-D51F-41DC-A078-4FCE13355B61}">
      <text>
        <t>[Threaded comment]
Your version of Excel allows you to read this threaded comment; however, any edits to it will get removed if the file is opened in a newer version of Excel. Learn more: https://go.microsoft.com/fwlink/?linkid=870924
Comment:
    Anforderung kam von Tax. Sollen wir solche bekannten Anforderungen schon integrieren?</t>
      </text>
    </comment>
  </commentList>
</comments>
</file>

<file path=xl/sharedStrings.xml><?xml version="1.0" encoding="utf-8"?>
<sst xmlns="http://schemas.openxmlformats.org/spreadsheetml/2006/main" count="3456" uniqueCount="1250">
  <si>
    <t>Tab</t>
  </si>
  <si>
    <t>E2E Process</t>
  </si>
  <si>
    <t>Level 1</t>
  </si>
  <si>
    <t>Level 2</t>
  </si>
  <si>
    <t>Level 3</t>
  </si>
  <si>
    <t>SRE - Direct</t>
  </si>
  <si>
    <t>Comments</t>
  </si>
  <si>
    <t>P2P</t>
  </si>
  <si>
    <t>5 Ordering, Processing &amp; Claims</t>
  </si>
  <si>
    <t>5.2 Request Goods &amp; Services</t>
  </si>
  <si>
    <t>5.2.1 Create Purchase Requisition</t>
  </si>
  <si>
    <t>here</t>
  </si>
  <si>
    <t>5.2.2 Release Purchase Requisition</t>
  </si>
  <si>
    <t xml:space="preserve">5.3 Create / Place Purchase Order  </t>
  </si>
  <si>
    <t>5.3.1 Create Purchase Order / Order Change</t>
  </si>
  <si>
    <t xml:space="preserve">5.3.2 Release Purchase Order </t>
  </si>
  <si>
    <t>5.3 Create / Place Purchase Order</t>
  </si>
  <si>
    <t>5.3.3 Share Purchase Order with Supplier</t>
  </si>
  <si>
    <t>5.4 Manage Purchase Order</t>
  </si>
  <si>
    <t>5.4.2 Monitor Purchase Order Status</t>
  </si>
  <si>
    <t>5.5 Receive Goods &amp; Services</t>
  </si>
  <si>
    <t>5.5.3 Confirm Receipt of Goods &amp; Services</t>
  </si>
  <si>
    <t>5.5.4 Fulfill Customs &amp; Statutory Reporting</t>
  </si>
  <si>
    <t>5.6 Manage Quality &amp; Returns</t>
  </si>
  <si>
    <t>5.6.5 Manage Incidents, Returns &amp; Remedies / Claims</t>
  </si>
  <si>
    <t>Role definition</t>
  </si>
  <si>
    <t>Planning overview</t>
  </si>
  <si>
    <t>Incorporated Scenarios</t>
  </si>
  <si>
    <t>Construction</t>
  </si>
  <si>
    <t>OPEX-Service</t>
  </si>
  <si>
    <t>NET Rent</t>
  </si>
  <si>
    <t>Other</t>
  </si>
  <si>
    <t>No</t>
  </si>
  <si>
    <t>Description</t>
  </si>
  <si>
    <t>Who</t>
  </si>
  <si>
    <t>Status</t>
  </si>
  <si>
    <t>Workstream</t>
  </si>
  <si>
    <t>Team</t>
  </si>
  <si>
    <t>Polarion #</t>
  </si>
  <si>
    <t>Scenario</t>
  </si>
  <si>
    <t>I as a (persona/ WHO)</t>
  </si>
  <si>
    <t>want to… (WHAT)</t>
  </si>
  <si>
    <t>Detailed Description</t>
  </si>
  <si>
    <t>so that… (WHY)</t>
  </si>
  <si>
    <t>Acceptance Criteria</t>
  </si>
  <si>
    <t>Notes</t>
  </si>
  <si>
    <t>ACN Comments</t>
  </si>
  <si>
    <t>Feature assignment</t>
  </si>
  <si>
    <t>using application/3rd Party Tools/interface (HOW)</t>
  </si>
  <si>
    <t>Value Flow Items</t>
  </si>
  <si>
    <t>Master Data Items</t>
  </si>
  <si>
    <t>SAP Best Practice</t>
  </si>
  <si>
    <t>SAP Module - Core</t>
  </si>
  <si>
    <t>SAP Module - Public Cloud</t>
  </si>
  <si>
    <t>Functional Shift</t>
  </si>
  <si>
    <t>Role, Rights &amp; FIORI App relevance</t>
  </si>
  <si>
    <t>Role in User Story</t>
  </si>
  <si>
    <t>SAP Role Name</t>
  </si>
  <si>
    <t>Siemens Role Name</t>
  </si>
  <si>
    <t>SAP Transaction Code</t>
  </si>
  <si>
    <t>Customizing Code/ ID</t>
  </si>
  <si>
    <t>FIORI App ID</t>
  </si>
  <si>
    <t>FIORI App Name</t>
  </si>
  <si>
    <t>FIORI App Description</t>
  </si>
  <si>
    <t>FIORI App Catalog ID</t>
  </si>
  <si>
    <t>Sandbox relevance</t>
  </si>
  <si>
    <t>Sandbox relevance comment</t>
  </si>
  <si>
    <t>5.2.1 Create Purchase Requisition_1</t>
  </si>
  <si>
    <t>Requisitioner</t>
  </si>
  <si>
    <t>… start creating a PR by populating the required information for specific demand</t>
  </si>
  <si>
    <t xml:space="preserve">Req. starts creating a PR in respective system </t>
  </si>
  <si>
    <t>…PR can be released in S4 for further processing</t>
  </si>
  <si>
    <t>PR is created in S4 system and required fields are populated</t>
  </si>
  <si>
    <t>5.2.1 Create Purchase Requisition_2</t>
  </si>
  <si>
    <t>… get displayed supplier with R4B status only (if supplier is already known by the Requisitioner)</t>
  </si>
  <si>
    <t>… so that unqualified supplier cannot be chosen.</t>
  </si>
  <si>
    <t>1.Create a PR.
2. Try to choose an unqualified supplier 
3. Unqualified supplier should not be displayed</t>
  </si>
  <si>
    <t>5.2.1 Create Purchase Requisition_3</t>
  </si>
  <si>
    <t>...order for different company codes in the same Purchasing Organisation</t>
  </si>
  <si>
    <t xml:space="preserve">It shall be possible to have PRs created for multiple organizations by the same user, althoug he is allocated in one spesicifc company code </t>
  </si>
  <si>
    <t>… I can process requisitions for different AREs within one backend.</t>
  </si>
  <si>
    <t>Requisitioner opens PR and can change company code/plant to desired company code/plant based on assigned authorizations. Follow on processes are based on the chosen company code/plant and not on user data</t>
  </si>
  <si>
    <t>5.2.1 Create Purchase Requisition_4</t>
  </si>
  <si>
    <t xml:space="preserve">... have prefilled fields
</t>
  </si>
  <si>
    <t>Predefined fields:
GR: no GR 
PG: Function PG GBS
Invoice: Invoice required</t>
  </si>
  <si>
    <t>… so that quality and performance is increased.</t>
  </si>
  <si>
    <t xml:space="preserve">Prefilled fields, e.g.
1. GR: no GR for all SRE PRs/POs as a standard logic, instead confirmation of service delivery per workflow step
2. Purchasing Group
3. Delivery address 
</t>
  </si>
  <si>
    <t>5.2.1 Create Purchase Requisition_5</t>
  </si>
  <si>
    <t>... change prefilled data and add new data where mandratory and/or applicable .</t>
  </si>
  <si>
    <t>...so that quality and performance is increased.</t>
  </si>
  <si>
    <t>Default values could be changed for most of the fields, unless it is not controlled by configuration --&gt; Mainly for the Account Assignment and Item Category, which control (GR, GR Valuation, Invoice Receipt and GR-Based Invoice).
There is no GL automatically determination, then the GL could be changed manually in the PO.</t>
  </si>
  <si>
    <t>5.2.1 Create Purchase Requisition_6</t>
  </si>
  <si>
    <t xml:space="preserve">... have the opportunity to create orders with multi-account assignment </t>
  </si>
  <si>
    <t>… so that services can be billed across multiple cost centers.</t>
  </si>
  <si>
    <t>Standard SAP behaviour.</t>
  </si>
  <si>
    <t>5.2.1 Create Purchase Requisition_7</t>
  </si>
  <si>
    <t>... to be able to upload attachements on header and line item level, that are stored in the S4 archiving system</t>
  </si>
  <si>
    <t>5.2.1 Create Purchase Requisition_8</t>
  </si>
  <si>
    <t xml:space="preserve">... have the Invoice Receiver field prefilled with my GID and be able to change the prefilled invoice receiver field with a GID from SCD. Contact data of invoice receiver shall be visible on the PO Print out. </t>
  </si>
  <si>
    <t>Use fiels Invoice Receiver (see requirements on Z-filed "Contact person")</t>
  </si>
  <si>
    <t>… so that the real (technical) specialist will be visible on the PO Print out for the supplier and also he will receive the invoice in VIM</t>
  </si>
  <si>
    <t xml:space="preserve">Question: Check if the invoice recevier can be anyone in the company, or a user in S4P and VIM (Readsoft Successor) is required. </t>
  </si>
  <si>
    <t>5.2.1 Create Purchase Requisition_9</t>
  </si>
  <si>
    <t>… want to be able to manually assign the required PO approvals in this step</t>
  </si>
  <si>
    <t>… so that I do not have to touch the PO at a later point again</t>
  </si>
  <si>
    <t>5.2.1 Create Purchase Requisition_10</t>
  </si>
  <si>
    <t>System</t>
  </si>
  <si>
    <t>a budget check is run against the account assignment object to check if the planed PR volume is available in the budget</t>
  </si>
  <si>
    <t>… not assure than only PR aligned with the planed budget are created</t>
  </si>
  <si>
    <t>1.Create a PR.
2. Try to purchase a volume bigger than the available in the buget 
3. Error message occurs</t>
  </si>
  <si>
    <t>5.2.1 Create Purchase Requisition_11</t>
  </si>
  <si>
    <t>Requisitioner/System</t>
  </si>
  <si>
    <t>finalize PR and check if required data is correct</t>
  </si>
  <si>
    <t>The PR must be completed by the requisitioner/system before PR processing can continue.</t>
  </si>
  <si>
    <t>PR enriched with information. 
Check if all required fields are populated</t>
  </si>
  <si>
    <t>5.2.1 Create Purchase Requisition_12</t>
  </si>
  <si>
    <t>Process Owner</t>
  </si>
  <si>
    <t>I want to be able to replace a Requisitioner in case the user is not active/not applicable anymore</t>
  </si>
  <si>
    <t> </t>
  </si>
  <si>
    <t>to avoid that not active users are responsible for handling the PR and the creation/change of PO cannot be performed</t>
  </si>
  <si>
    <t>TBD if this functionaliyt is required for SRE ARE426q</t>
  </si>
  <si>
    <t>ACN Comment</t>
  </si>
  <si>
    <t>5.2.2 Release Purchase Requisition_1</t>
  </si>
  <si>
    <t>avoid PR approvals to the upmost extent (eg based on thresholds)</t>
  </si>
  <si>
    <t>so that processing time is minimized.</t>
  </si>
  <si>
    <t>1.	Based on detailed concept, expert approvwer to be looped in for Purchase Requsition Release or not</t>
  </si>
  <si>
    <t>… I do not want to have posting of goods receipt, but confirmation of service delivery per workflow step as a standard logic instead</t>
  </si>
  <si>
    <t>5.2.2 Release Purchase Requisition_2</t>
  </si>
  <si>
    <t>Expert</t>
  </si>
  <si>
    <t>I want to receive a notification of new PRs for approval in the system</t>
  </si>
  <si>
    <t>1.	Create a PR with expert approval step. 
2.	Expert receives notification.  
Based on detailed concept, expert approver to be looped in for Purchase Requsition Release or not</t>
  </si>
  <si>
    <t>5.2.2 Release Purchase Requisition_3</t>
  </si>
  <si>
    <t xml:space="preserve">Purchaser </t>
  </si>
  <si>
    <t>I want to receive new PRs in my work overview (Notification via Email required)</t>
  </si>
  <si>
    <t>so that I can start processing the business demand.</t>
  </si>
  <si>
    <t>1. PR is created.
2. Purchaser receives new PRs in their work overview.</t>
  </si>
  <si>
    <t>5.2.2 Release Purchase Requisition_4</t>
  </si>
  <si>
    <t xml:space="preserve">… that all PRs are automatically directed to a functional PGroup.
</t>
  </si>
  <si>
    <t xml:space="preserve">
so that PRs can be assigned to purchasers.</t>
  </si>
  <si>
    <t>One of the following combinations has to be selected for verification:
1. Create PR
2. Correct PGroup automatically determined according to the settings
3. Assigned purchaser(s) can see the PR in work overview</t>
  </si>
  <si>
    <t xml:space="preserve">All PRs are initially automatically directed to the functional GBS PGroup. GBS team then reroutes the PRs according to specific instructions (no technical set-up needed, to be manually organized and comunicated within SCM team) to personalized PR groups. </t>
  </si>
  <si>
    <t>5.2.2 Release Purchase Requisition_5</t>
  </si>
  <si>
    <t>I want to be able to reroute PRs to other Pgroups (either another functional Pgroup or personalized Pgroups)</t>
  </si>
  <si>
    <t>so that the requested demand are allocated to the correct purchaser</t>
  </si>
  <si>
    <t xml:space="preserve">1. Open PR as a purchaser and add a line item to existing PR
2. Change Prgroup </t>
  </si>
  <si>
    <t>5.2.2 Release Purchase Requisition_6</t>
  </si>
  <si>
    <t>I want to be able to check the status of the PR and identify who is responsible for it now.</t>
  </si>
  <si>
    <t>5.2.2 Release Purchase Requisition_7</t>
  </si>
  <si>
    <r>
      <rPr>
        <sz val="11"/>
        <rFont val="Calibri"/>
        <family val="2"/>
      </rPr>
      <t xml:space="preserve">I want to add and delete line items </t>
    </r>
  </si>
  <si>
    <t xml:space="preserve">so that the requested demand are allocated to the ESN </t>
  </si>
  <si>
    <t>1. Open PR as a purchaser and add a line item to existing PR
2. Open PR and delete one line item</t>
  </si>
  <si>
    <t>5.2.2 Release Purchase Requisition_8</t>
  </si>
  <si>
    <t xml:space="preserve">I want to be able to edit all data fields </t>
  </si>
  <si>
    <t>so that the quality of the PR is ensured.</t>
  </si>
  <si>
    <t>1. Purchaser opens assigned PR.
2. Purchaser check all field if editable.</t>
  </si>
  <si>
    <t>5.2.2 Release Purchase Requisition_9</t>
  </si>
  <si>
    <t>I want to get displayed supplier with R4B status only</t>
  </si>
  <si>
    <t>so that unqualified supplier cannot be chosen.</t>
  </si>
  <si>
    <t>5.2.2 Release Purchase Requisition_10</t>
  </si>
  <si>
    <t>I want to assign the PR back to the requisitioner in case of clarification incl. comment what is missing</t>
  </si>
  <si>
    <t>so that missing data can be filled.</t>
  </si>
  <si>
    <t>1. The purchaser opens the PR.
2. Add comment and assign to requisitioner.
3. Requisitioner receives notification.
4. Requisitioner add required data and assigns back to purchaser.</t>
  </si>
  <si>
    <t>5.2.2 Release Purchase Requisition_11</t>
  </si>
  <si>
    <t>I want to be notified when a PR I created is rejected</t>
  </si>
  <si>
    <t xml:space="preserve">so that I can initiate a clarification process, inform the business and po-tentially create a new / adjust rejected shopping basket. </t>
  </si>
  <si>
    <t>1.	PR rejected from expert
2.	The requester receives a notification about rejection of the PR (push principle).</t>
  </si>
  <si>
    <t>5.3.1 Create Purchase Order / Order Change_1</t>
  </si>
  <si>
    <t xml:space="preserve">I want to be able to change PO fields to finalize input of data
</t>
  </si>
  <si>
    <t xml:space="preserve">so that PO can be enriched with data </t>
  </si>
  <si>
    <t xml:space="preserve">1. Create a PO.
2. Populate fields </t>
  </si>
  <si>
    <t>5.3.1 Create Purchase Order / Order Change_2</t>
  </si>
  <si>
    <t xml:space="preserve">I want to be able to able to upload big size  attachements on header and line item level that are stored the standard archive system </t>
  </si>
  <si>
    <t>5.3.1 Create Purchase Order / Order Change_3</t>
  </si>
  <si>
    <t>I want to be able to change payment terms  which are provided / prefilled according to supplier master data</t>
  </si>
  <si>
    <t xml:space="preserve">so that data deviations can be handled easily. </t>
  </si>
  <si>
    <t>1. Create a PO.
2. Check if payment terms and incoterms are prefilled according to entries in supplier master data.</t>
  </si>
  <si>
    <t>5.3.1 Create Purchase Order / Order Change_4</t>
  </si>
  <si>
    <t>I want that relevant data is replicated to the Siemens Data Cloud</t>
  </si>
  <si>
    <t>so that official Siemens PO/PVO reportings are supported.</t>
  </si>
  <si>
    <t>PO data is available in PO/PVO reportings.</t>
  </si>
  <si>
    <t>5.3.1 Create Purchase Order / Order Change_5</t>
  </si>
  <si>
    <t>have an overview of new POs to be created from the PR</t>
  </si>
  <si>
    <t xml:space="preserve">PO Overview of new POs to be created and not to copy PR number from previous step </t>
  </si>
  <si>
    <t>5.3.1 Create Purchase Order / Order Change_6</t>
  </si>
  <si>
    <t>... to be able to forward a PO to an Expert Buyer for review and change of the PO</t>
  </si>
  <si>
    <t xml:space="preserve">so that a high quality of the PO is assured </t>
  </si>
  <si>
    <t>1.	Create a PO with expert approval step. 
2.	Expert receives notification.  
Based on orgnisational set-up, expert approver to be looped in for PO Release or not</t>
  </si>
  <si>
    <t>5.3.1 Create Purchase Order / Order Change_7</t>
  </si>
  <si>
    <t>Expert (Buyer)</t>
  </si>
  <si>
    <t>.. To receive an email with the respective PO work item to review</t>
  </si>
  <si>
    <t>1.	Create a PO with expert approval step. 
2.	Expert receives notification.  
Based on orgnisational set-up , expert approver to be looped in for PO Release or not</t>
  </si>
  <si>
    <t>5.3.1 Create Purchase Order / Order Change_8</t>
  </si>
  <si>
    <t xml:space="preserve">.. To be able to review, change all data, send back and/or confirm PO </t>
  </si>
  <si>
    <t>1.	Create a PO with expert approval step. 
2.	Expert receives notification.  
Based on detailed concept, expert approver to be looped in for PO Release or not</t>
  </si>
  <si>
    <t>5.3.1 Create Purchase Order / Order Change_9</t>
  </si>
  <si>
    <t xml:space="preserve">Expert (Buyer) and/or
Purchaser </t>
  </si>
  <si>
    <t>I want to get closed multiple POs via mass update final invoice flag</t>
  </si>
  <si>
    <t>so that the open POs in the system can be closed (fiscal year ending).</t>
  </si>
  <si>
    <t>1. Provide a list of line item number PO number of e.g. POs, where PO final invoice flag to be set
2. User / admins with respective authorization conduct the mass up-date.
3. Check POs are updated correctly.</t>
  </si>
  <si>
    <t>TBD if this functionaliyt is required for SRE ARE426q and if yes, who will have the rights to üerform mass updates?</t>
  </si>
  <si>
    <t>5.3.1 Create Purchase Order / Order Change_11</t>
  </si>
  <si>
    <t>I want that purchaser will be actively notified when negative deviations between PO price and invoice price occurs (price is higher than a defined tolerance)</t>
  </si>
  <si>
    <t xml:space="preserve">so that the PO can be adjusted. </t>
  </si>
  <si>
    <t>1. Create a PO.
2. Post the invoice with large deviations so that the price is higher than a defined tolerance.
3. Check if the purchaser receives a pus notification.</t>
  </si>
  <si>
    <t>5.3.1 Create Purchase Order / Order Change_13</t>
  </si>
  <si>
    <t>I want to have the possibility to update multiple POs via a mass update option without approval required</t>
  </si>
  <si>
    <t>so that reorganizations of data can be updated, e.g. accounting el-ements, G/L accounts.</t>
  </si>
  <si>
    <t>1. Create multiple Pos.
2. Provide a list of POs and data fields which should be updated, e.g. PO old G/L account à G/L account PO old accounting element to new element
3. Execute mass update.
4. Check if changes are displayed in the POs.</t>
  </si>
  <si>
    <t>5.3.1 Create Purchase Order / Order Change_14</t>
  </si>
  <si>
    <t>to avoid that not active users are responsible for handling the PO and the creation/change of PO cannot be performed</t>
  </si>
  <si>
    <t>5.3.2 Release Purchase Order_1</t>
  </si>
  <si>
    <t>so that the PR is not send again back to the Requisitioner</t>
  </si>
  <si>
    <t>PO Approver</t>
  </si>
  <si>
    <t>I want to receive an email when new POs for approval arise</t>
  </si>
  <si>
    <t>so that I do not have to check proactively the system for new POs.</t>
  </si>
  <si>
    <t>1.	Create PO where an expert approval is required.
2.	Check if PO expert receives a push notification for PO approval.</t>
  </si>
  <si>
    <t>5.3.2 Release Purchase Order_2</t>
  </si>
  <si>
    <t xml:space="preserve">I want to edit relevant data fields in the PO, if required </t>
  </si>
  <si>
    <t xml:space="preserve">so that I can send the PO for approval and further processing is ensured. </t>
  </si>
  <si>
    <t>1.	Open the PO in the expert work overview. 
2.	Check if relevant data fields are editable.
3.	Approve the PO.</t>
  </si>
  <si>
    <t>5.3.2 Release Purchase Order_15</t>
  </si>
  <si>
    <t>I want to able to maintain substitutes</t>
  </si>
  <si>
    <t>5.3.2 Release Purchase Order_17</t>
  </si>
  <si>
    <t xml:space="preserve">I want to approve via smartphone, tablet or computer and all necessary data for decision are provided </t>
  </si>
  <si>
    <t>so that I can minimize the processing time.</t>
  </si>
  <si>
    <t>1. Create multiple POs.
2. Check the opportunity for approval for tablet, computer and smartphone.
3. All relevant data are correctly displayed for decision.
4. Check if the POs can be approved and rejected via smartphone, tablet or computer.</t>
  </si>
  <si>
    <t>5.3.2 Release Purchase Order_19</t>
  </si>
  <si>
    <t>I want that the entire PO is rejected if an approver rejects the PO</t>
  </si>
  <si>
    <t>so that a PO is processed as a whole.</t>
  </si>
  <si>
    <t xml:space="preserve">1. Create a PO with multiple approvers.
2. One approver rejects the PO.
3. Check if the PO has status “rejected”.
4. Check if work items from other approvers disappears. </t>
  </si>
  <si>
    <t>5.3.2 Release Purchase Order_21</t>
  </si>
  <si>
    <t xml:space="preserve">I want to approve all line items in a PO (which are assigned to me) with one click </t>
  </si>
  <si>
    <t>Use case 1: A PO with different accounting types, one cost center
line item 1 - asset - cost center 1 and
line item 2 - cost center - cost center 1 
Use case 2: different cost centers, one approver
line item 1 - cost center 1 - approver 1 and
line item 2 - cost center 2 - approver 1</t>
  </si>
  <si>
    <t>so that processing time in minimized</t>
  </si>
  <si>
    <t>1. Create a PO with the following data
Use case 1: A PO with different accounting types, one cost center
line item 1 - asset - cost center 1 and
line item 2 - cost center - cost center 1 
Use case 2: different cost centers same approver 
line item 1 - cost center 1 - approver 1 and
line item 2 - cost center 2 - approver 1
2. Check if the approver is correctly assigned.
3. Check if the approver can approve all item with one click.</t>
  </si>
  <si>
    <t>TBD if ARE426Q has the use case of multiple PO approvers</t>
  </si>
  <si>
    <t>5.3.2 Release Purchase Order_3</t>
  </si>
  <si>
    <t>Asset Expert</t>
  </si>
  <si>
    <t>I want to be involved in the PO expert verification step in case of 
-	usage of the asset accounting type 
-	or when the price per unit for goods is above a defined threshold</t>
  </si>
  <si>
    <t>so that the correctness of the asset process is ensured.</t>
  </si>
  <si>
    <t>1. Create a PO with asset accounting type.
2. Asset expert involved in expert verification step.
1. Create a PO for goods with unit price above defined threshold.
2. Asset expert involved in expert verification step.G57</t>
  </si>
  <si>
    <t>5.3.2 Release Purchase Order_4</t>
  </si>
  <si>
    <t>I want to be able to edit accounting elements and asset master data</t>
  </si>
  <si>
    <t>1. Create a PO with asset accounting type.
2. Asset expert involved in expert verification step.
3. Asset expert can edit the PO.
1. Create a PO for goods with unit price above defined threshold.
2. Asset expert involved in expert verification step.
3. Asset expert can edit the PO.</t>
  </si>
  <si>
    <t>5.3.2 Release Purchase Order_5</t>
  </si>
  <si>
    <t>Purchaser</t>
  </si>
  <si>
    <t xml:space="preserve">I want the system to check if the delivery date is in the past before final approval. Send back PO to Purchaser if delivery date is in the past. </t>
  </si>
  <si>
    <t>so that supplier receives the correct delivery date.</t>
  </si>
  <si>
    <t xml:space="preserve">1. Create a PO.
2. Before final approval check if delivery date is in the past </t>
  </si>
  <si>
    <t>5.3.2 Release Purchase Order_6</t>
  </si>
  <si>
    <t>I want that the language of the PO printout corresponds to the language of supplier master data (If language not applicable: use English as default)</t>
  </si>
  <si>
    <t>so that miscommunication towards the supplier can be avoided.</t>
  </si>
  <si>
    <t>1.	Create POs for several suppliers with different languages. 
2.	Check if the PO printout language is the correct supplier language.</t>
  </si>
  <si>
    <t>5.3.2 Release Purchase Order_7</t>
  </si>
  <si>
    <t>I want to have copy stored in the system of the PO printout as soon as it is created for legal aspects</t>
  </si>
  <si>
    <t>so that a copy of for legal purposes is stored in the system.</t>
  </si>
  <si>
    <t>1.	Create a PO. 
2.	Check if a copy of the PO printout is stored as attachment in the system.
3.	Create a supplier relevant PO change.
4.	Check if the PO change is stored as attachment in the system.</t>
  </si>
  <si>
    <t>5.3.2 Release Purchase Order_8</t>
  </si>
  <si>
    <t>I want to rename the PO printout from “Order” to “Order Change”
in case adjustments in the PO are required</t>
  </si>
  <si>
    <t>1.	Create PO
2.	Change in PO supplier relevant data
3.	Check printout if “Order Change” is visible
4.	Check printout if all line items are visible</t>
  </si>
  <si>
    <t>I want to rename the PO printout from “Order” to “Order information”
in case this is not a binding PO</t>
  </si>
  <si>
    <t>1.	Create PO
2.	Change in PO supplier relevant data
3.	Check printout if “Order information” is visible
4.	Check printout if all line items are visible</t>
  </si>
  <si>
    <t xml:space="preserve">TBD if PO Type Framework + item cat. B (Limit) can be set per default as Order Information, meaning not binding PO. </t>
  </si>
  <si>
    <t>5.3.2 Release Purchase Order_9</t>
  </si>
  <si>
    <t>I want that PO printout form contains automated texts and these be adjusted based on local (legal) requirements</t>
  </si>
  <si>
    <t>so that local (legal) regulations are fulfilled.</t>
  </si>
  <si>
    <t>1.	Create PO for different legal entities and languages
2.	Check if content is correctly displayed</t>
  </si>
  <si>
    <t>5.3.2 Release Purchase Order_10</t>
  </si>
  <si>
    <t xml:space="preserve">I want that PO is transferred according to the output media setting in the PO (prefilled from supplier master data)  </t>
  </si>
  <si>
    <t>so that the PO is transferred as agreed with the supplier.</t>
  </si>
  <si>
    <t>1.	Create several POs with different output media settings
-	EDI (Classic EDI, SupplyON, or other future platforms)
-	Email
-	Fax (roll-In activity)
-	No output, if transfer is suppressed 
2.	Check if the PO transfer to the supplier worked correctly.</t>
  </si>
  <si>
    <t>5.3.2 Release Purchase Order_11</t>
  </si>
  <si>
    <t>I want to decide if a PO change should be sent to supplier</t>
  </si>
  <si>
    <t>so that the supplier receives only a “PO Change” document
if changed data fields are relevant for them.</t>
  </si>
  <si>
    <t>1.	Create a PO.
2.	Change the PO. 
3.	Mark the PO “to be sent to the supplier”
4.	Check if the PO is sent to the supplier
5.	Mark the PO “not be sent to supplier”
6.	Check if the PO is not sent to supplier</t>
  </si>
  <si>
    <t>5.3.2 Release Purchase Order_12</t>
  </si>
  <si>
    <t>I want to decide (manually) if a PO should be sent to supplier (invoice already received from the supplier)</t>
  </si>
  <si>
    <t>so that POs for internal purposes are not sent to the supplier.</t>
  </si>
  <si>
    <t>1.	Create a PO.
2.	Mark the PO „not to be sent“.
3.	Check if the PO is not sent to the supplier.</t>
  </si>
  <si>
    <t>5.3.2 Release Purchase Order_13</t>
  </si>
  <si>
    <t>I want Requisitioner to receive a copy of a PO when a PO is sent to supplier via EDI or email</t>
  </si>
  <si>
    <t>so that Requisitioner knows the PO is sent to supplier (Requisitioner wants to have a copy of PO)</t>
  </si>
  <si>
    <t>Copy Requisitioner when Purchaser emails the PO to supplier</t>
  </si>
  <si>
    <t>5.3.2 Release Purchase Order_14</t>
  </si>
  <si>
    <t>PO is approved according the Siemens regulations and Sherpa X Standard</t>
  </si>
  <si>
    <t>so that the PO Approver is automatically addressed (if required)</t>
  </si>
  <si>
    <t>Interface with SAT is required</t>
  </si>
  <si>
    <t>I want to edit rejected POs</t>
  </si>
  <si>
    <t xml:space="preserve">so that I can avoid creating a new PO. </t>
  </si>
  <si>
    <t>1. Create a PO.
2. Reject a PO.
3. The purchaser opens a rejected PO and edits the PO.
4. The PO is sent for approval (again).</t>
  </si>
  <si>
    <t>5.3.2 Release Purchase Order_16</t>
  </si>
  <si>
    <t>I want that only approvers with an activated user account approve POs</t>
  </si>
  <si>
    <t>so that the identity of user was verified.</t>
  </si>
  <si>
    <t>1. Create a PO where an approver without active user account has to approve.
2. Check if the approver cannot access and approve.</t>
  </si>
  <si>
    <t>I want to edit POs which are currently in the approval step</t>
  </si>
  <si>
    <t>so that I can correct errors without restarting the process.</t>
  </si>
  <si>
    <t xml:space="preserve">1. Create a PO and start the approval step.
2. The purchaser calls and edits the PO.
3. During the “PO edit mode” the work item for approval should disappear in the approval step.
4. After editing the PO, the PO is again in the approval step.  </t>
  </si>
  <si>
    <t>5.3.2 Release Purchase Order_18</t>
  </si>
  <si>
    <t>I want to receive a push notification with a comment if the respective PO of my PR is rejected</t>
  </si>
  <si>
    <t>so that process time is minimized.</t>
  </si>
  <si>
    <t>1. Create a PO.
2. Reject a PO with reason for rejection (reason is mandatory).
3. Check if requisitioner receives a notification incl. reason for rejection.</t>
  </si>
  <si>
    <t>so that processing time for approvals can be minimized.</t>
  </si>
  <si>
    <t>TBD - Create approval matrix per ESN, PO value and Cost center logic</t>
  </si>
  <si>
    <t>5.3.2 Release Purchase Order_20</t>
  </si>
  <si>
    <t>Process owner</t>
  </si>
  <si>
    <t>I want that the next level of approver applies in case of no determination of an approver in a lower range of value
I want that the workflow responsible gets notified in case no approver is determined</t>
  </si>
  <si>
    <t xml:space="preserve">1. Create a PO where the value range is not maintained.
2. Check if the next approval level applies.
3. Create a PO where no approver is maintained (e.g. new cost cen-ters)
4. Check if the workflow responsible gets notified. </t>
  </si>
  <si>
    <t>As a requisitioner and approver</t>
  </si>
  <si>
    <t>we want get notified on a regular basis, if a PO is not approved in a specific time frame</t>
  </si>
  <si>
    <t>so that processing time can be minimized.</t>
  </si>
  <si>
    <t xml:space="preserve">1.     Create a PO with status “in approval”.
2.     Wait until the time frame set is overdue (x days).
3. Check if a LoA approver receives a reminder notification. </t>
  </si>
  <si>
    <t>5.3.2 Release Purchase Order_22</t>
  </si>
  <si>
    <t>As a requisitioner, purchaser and approver,</t>
  </si>
  <si>
    <t>we want to be able to add “adhoc” approvers manually in the approval process,</t>
  </si>
  <si>
    <t>so that approvers required can be involved.</t>
  </si>
  <si>
    <t>1. Valid maybe also for PR
2. Challenge how could a requisitioner do this?
3. Only user with respective authorizations should available as adhoc approvers</t>
  </si>
  <si>
    <t>5.3.2 Release Purchase Order_23</t>
  </si>
  <si>
    <t xml:space="preserve">we want to be able to replace approvers manually in approval process, according to LoA authorizations
a) If no approvers could be determined a fallback or dummy ap-prover should be chosen
b) Existing approver is currently not available </t>
  </si>
  <si>
    <t>so that approval process can be fastened.</t>
  </si>
  <si>
    <r>
      <t>1.</t>
    </r>
    <r>
      <rPr>
        <sz val="7"/>
        <color rgb="FF7030A0"/>
        <rFont val="Times New Roman"/>
        <family val="1"/>
      </rPr>
      <t xml:space="preserve">    </t>
    </r>
    <r>
      <rPr>
        <sz val="11"/>
        <rFont val="Calibri"/>
        <family val="2"/>
      </rPr>
      <t>Search for a PO.
2.    Open the PO and replace the existing approver.</t>
    </r>
  </si>
  <si>
    <t>5.3.2 Release Purchase Order_24</t>
  </si>
  <si>
    <t>5.3.2 Release Purchase Order_25</t>
  </si>
  <si>
    <t>I want to ensure that same PO approver cannot perform two approvals for one PO</t>
  </si>
  <si>
    <t xml:space="preserve"> Commercial and technical PO approvers should be different people </t>
  </si>
  <si>
    <t>so that the approval is according to regulations.</t>
  </si>
  <si>
    <t>1. Create PO with two LoA approval steps.
2. Determine one approver for two approval steps.
3. An error message appears.</t>
  </si>
  <si>
    <t>5.3.2 Release Purchase Order_26</t>
  </si>
  <si>
    <t xml:space="preserve">I want only defined changes need an approval </t>
  </si>
  <si>
    <t>so that time is not wasted on the approval of uncritical data fields.</t>
  </si>
  <si>
    <t>1. Create a PO.
2. Approve a PO.
3. Change multiple fields in the PO.
4. Check that workflow is only be started for changes to critical data fields.</t>
  </si>
  <si>
    <t>5.3.2 Release Purchase Order_27</t>
  </si>
  <si>
    <t>I want all newly added line items in a PO to restart the approval of the entire PO</t>
  </si>
  <si>
    <t>so that local regulations are fulfilled.</t>
  </si>
  <si>
    <t>1. Create a PO.
2. Approve a PO.
3. Add a new line item to the PO.
4. Check if the PO approval process has been started.</t>
  </si>
  <si>
    <t>5.3.3 Share Purchase Order with Supplier_1</t>
  </si>
  <si>
    <t>By default, the Requisitioner is the Invoice recipient, but the Requisitioner can change this in PR</t>
  </si>
  <si>
    <t>so that clarifications can be processed faster.</t>
  </si>
  <si>
    <t>1. Create a PO.
2. Open a PO printout and check if technical contact is correctly dis-played.
3. Create a PO with EDI.
4. Open the EDI message and check if technical contact is correctly dis-played.</t>
  </si>
  <si>
    <t>5.3.3 Share Purchase Order with Supplier_2</t>
  </si>
  <si>
    <t>I want that the invoice address is derived and displayed correctly on the PO printout and transferred in the EDI segments</t>
  </si>
  <si>
    <t>so that invoices coming from the supplier are addressed correctly.</t>
  </si>
  <si>
    <t>1.	Create PO for an EDI connected supplier. 
2.	Check PO printout if the invoice address is correctly displayed. 
3.	Check EDI message if data is in correct segments.</t>
  </si>
  <si>
    <t>5.3.3 Share Purchase Order with Supplier_3</t>
  </si>
  <si>
    <t>I want that the correct invoice email and POC (purchase order confirmation) address are derived and displayed correctly on the PO printout and transferred cor-rectly in the EDI segments</t>
  </si>
  <si>
    <t>so that invoices from supplier will be addressed correctly
(in case of email and POR are addressed to the desired email address).</t>
  </si>
  <si>
    <t>1.	Create a PO for an EDI connected supplier. 
2.	Check in the PO printout if both email addresses are correctly dis-played. 
3.	Check EDI message if data is in the correct segments.</t>
  </si>
  <si>
    <t>5.3.3 Share Purchase Order with Supplier_4</t>
  </si>
  <si>
    <t>I want that for all countries where tax rates is required in the PO, tax rates are correctly determined</t>
  </si>
  <si>
    <t>so that tax regulations apply.</t>
  </si>
  <si>
    <t>1.	Create PO for a tax relevant country. 
2.	Check PO, PO printout and EDI message if tax rates are correct determined.</t>
  </si>
  <si>
    <t>5.3.3 Share Purchase Order with Supplier_5</t>
  </si>
  <si>
    <t>I want that for all countries where withholding tax is required in the PO
that withholding tax is correctly determined</t>
  </si>
  <si>
    <t>1.	Create PO for a tax relevant country. 
2.	Check withholding tax in PO.</t>
  </si>
  <si>
    <t>5.3.3 Share Purchase Order with Supplier_6</t>
  </si>
  <si>
    <t xml:space="preserve">I want for all countries where VAT ID is required in the PO that the VAT ID is correctly determined </t>
  </si>
  <si>
    <t>5.3.3 Share Purchase Order with Supplier_7</t>
  </si>
  <si>
    <t xml:space="preserve">I want to have my contact data displayed on PO printout and EDI message </t>
  </si>
  <si>
    <t>so that the supplier can contact purchaser in case of clarifications.</t>
  </si>
  <si>
    <t>Create a PO and compare the PGroup data with the address of the PO printout.</t>
  </si>
  <si>
    <t>5.3.3 Share Purchase Order with Supplier_8</t>
  </si>
  <si>
    <t>1. Create a PO.
2. Change the PO.
3. Mark the PO “to be sent to the supplier”
4. Check if the PO is sent to the supplier
5. Mark the PO “not be sent to supplier”
6. Check if the PO is not sent to supplier</t>
  </si>
  <si>
    <t>5.3.3 Share Purchase Order with Supplier_9</t>
  </si>
  <si>
    <t xml:space="preserve">I want that attachments in the PO marked as “external” should be sent to supplier (email, EDI) </t>
  </si>
  <si>
    <t>so that the supplier receives all relevant information.</t>
  </si>
  <si>
    <t>1. Create a PO incl. attachments. Mark the PO as “external” for email transfer.
2. Create a PO incl. attachment. Mark the PO as “external” for EDI transfer.
3. Check the email sent to the supplier if attachments are included.
4. Check the EDI message to the supplier if attachments are included.</t>
  </si>
  <si>
    <t>5.3.3 Share Purchase Order with Supplier_10</t>
  </si>
  <si>
    <t>1. Create a PO.
2. Mark the PO „not to be sent“.
3. Check if the PO is not sent to the supplier.</t>
  </si>
  <si>
    <t>5.3.3 Share Purchase Order with Supplier_12</t>
  </si>
  <si>
    <t>I want to be able to add a contact for any kind of content inquiries from supplier</t>
  </si>
  <si>
    <t>as technical contact in case of inquiry of supplier</t>
  </si>
  <si>
    <t>5.4.1 Manage Purchase Order Confirmation_4</t>
  </si>
  <si>
    <t>so that manual effort is avoided.</t>
  </si>
  <si>
    <t>5.4.1 Manage Purchase Order Confirmation_1</t>
  </si>
  <si>
    <t>I want to receive PORs with deviations beyond tolerances in my work overview. These are automatically identified by the system by comparing EDI POR with the PO</t>
  </si>
  <si>
    <t>so that deviations can be clarified, and the purchaser can accept or reject the POR.</t>
  </si>
  <si>
    <t>1.	Create a PO.
2.	Create a POR with deviation beyond tolerances.
3.	Check if the POR appears in the purchaser’s work overview and if deviations are displayed correctly.
4.	The purchaser accepts the POR and has the possibility to decide if a PO change should be sent to supplier.
5.	After acceptance the POR is maintained in PO. 
6.	The PO date fields are updated with the POR data.</t>
  </si>
  <si>
    <t>5.4.1 Manage Purchase Order Confirmation_2</t>
  </si>
  <si>
    <t>I want to receive PORs with deviations within tolerances in my work overview. These are automatically identified by the system by comparing EDI POR with the PO</t>
  </si>
  <si>
    <t>1.	Create a PO.
2.	Create a POs with different deviations within tolerances.
3.	Check if the POR is automatically maintained in the PO.
4.	Check if the PO data field are updated with the respective POR data.
5.	Check if the deviations are predefined to be sent to supplier, and of the PO change is sent to supplier.
6.	Check if the deviations are predefined NOT to be sent to supplier, and the PO change is NOT sent to the supplier.</t>
  </si>
  <si>
    <t>5.4.1 Manage Purchase Order Confirmation_3</t>
  </si>
  <si>
    <t xml:space="preserve">I want that PORs without deviation are stored in the system automatically in the dedicated field in the PO </t>
  </si>
  <si>
    <t>so that I can see the status “POR sent”.</t>
  </si>
  <si>
    <t xml:space="preserve">1.	Create a PO.
2.	Create a POR without price deviations.
3.	Check if the POR is documented in the dedicated field.
4.	Check if the PO change is NOT sent to the supplier. </t>
  </si>
  <si>
    <t xml:space="preserve">I want to define tolerances (lower value and higher value) for dedicated data fields (e.g. price, delivery date) </t>
  </si>
  <si>
    <t>Check if tolerances can be maintained from an administrator.</t>
  </si>
  <si>
    <t>5.4.1 Manage Purchase Order Confirmation_5</t>
  </si>
  <si>
    <t xml:space="preserve">I want in the case that an existing POR which is not processed yet becomes invalid, when a new and updated POR sent from the supplier arise </t>
  </si>
  <si>
    <t>so that misunderstandings with the supplier can be avoided.</t>
  </si>
  <si>
    <t>1.	Create a PO.
2.	Create a POR.
3.	Create an updated POR.
4.	Check if the unprocessed POR is in the purchaser’s work overview.
5.	Check if the old POR is replaced by the new one.</t>
  </si>
  <si>
    <t>5.4.1 Manage Purchase Order Confirmation_6</t>
  </si>
  <si>
    <t>I want that a POR with a partially confirmation of the PO only relies to the respective line item so that unconfirmed line items stay untouched</t>
  </si>
  <si>
    <t>so that errors can be avoided.</t>
  </si>
  <si>
    <t xml:space="preserve">1.	Create a PO with multiple line items.
2.	Create a POR only for one litem. 
3.	Approve the POR.
4.	Check if line item of the POR is updated.
5.	Check if the remaining PO line items are untouched from POR. </t>
  </si>
  <si>
    <t>5.4.2 Monitor Purchase Order Status_1</t>
  </si>
  <si>
    <t>Requisitioner and Purchaser</t>
  </si>
  <si>
    <t>...see an overview of the latest status of PR from the follow-on documents in S/4 
-	status of PR, 
-	status of PO(s), 
-	GR(s), 
-	invoices with documents 
-	payment status 
-	PO closed status</t>
  </si>
  <si>
    <t>Transparency shall be given based on the initial PRs created by the Requisitioner for follow-up documents (via my PRs)</t>
  </si>
  <si>
    <t>...I can use S/4 to check the current status of the “open” requisitions or search for closed POs.</t>
  </si>
  <si>
    <t>1.	The requisitioner sees the new PRs requiring processing in their overvire in S4
2.	The requisitioner sees open PRs in their overview in S4. Definition of open: Final invoice flag not yet set in PO.
3.	Search function option for closed PRs / POs.
4.	PR status overview related to entire process should contain:
-	New PRs 
-	Open PRs (related to entire process) 
-	POs created
-	POs approved
-	GRs booked (optional)
-	Invoices received
-	Invoices paid</t>
  </si>
  <si>
    <t>PR Field - EBAN</t>
  </si>
  <si>
    <t>EN - Description</t>
  </si>
  <si>
    <t>DE - Description</t>
  </si>
  <si>
    <t>Siemens Data Tab</t>
  </si>
  <si>
    <t>Value Table</t>
  </si>
  <si>
    <t>In PO (Y-N)</t>
  </si>
  <si>
    <t>In PO form (Y-N)</t>
  </si>
  <si>
    <t>Siemens Functionality</t>
  </si>
  <si>
    <t>Please check if Z Field Should be in PO. Put Yes or  No</t>
  </si>
  <si>
    <t>Please add Yes, if we need this information on the Print Layout. Else No.</t>
  </si>
  <si>
    <t>Please add information about Functionality of this field. How is it used?</t>
  </si>
  <si>
    <t>Please add any additional Comments about fields.</t>
  </si>
  <si>
    <t>ZZZTERM</t>
  </si>
  <si>
    <t>Terms of Payment</t>
  </si>
  <si>
    <t>Zahlungsbedingung</t>
  </si>
  <si>
    <t>Lieferung/Rechnung</t>
  </si>
  <si>
    <t>Yes</t>
  </si>
  <si>
    <t>-</t>
  </si>
  <si>
    <t>Replace Z Field with Standard S4 Field based on PO Type (if applicable), otherwise it is required</t>
  </si>
  <si>
    <t>ZZKDATB</t>
  </si>
  <si>
    <t>Validity Per. Start</t>
  </si>
  <si>
    <t>Laufzeitbeginn</t>
  </si>
  <si>
    <t>Date</t>
  </si>
  <si>
    <t>ZZKDATE</t>
  </si>
  <si>
    <t>Validity Period End</t>
  </si>
  <si>
    <t>Laufzeitende</t>
  </si>
  <si>
    <t>ZZBEDAT</t>
  </si>
  <si>
    <t>Document Date</t>
  </si>
  <si>
    <t>Belegdatum</t>
  </si>
  <si>
    <t>Date of PO creation, relevant for reporting</t>
  </si>
  <si>
    <t>ZZGID</t>
  </si>
  <si>
    <t>Contact person GID</t>
  </si>
  <si>
    <t xml:space="preserve">Ansprechpartner-GID (Line Item) </t>
  </si>
  <si>
    <t xml:space="preserve">Added in PR by Requestor
Name of contact person, who acts as invoice recipient and can differ from the requestor ;
Contact person perosonal information is avaialable on PO Print out (not Requestor information!)
</t>
  </si>
  <si>
    <t>2. To be replaced by  Invoice Receiver (WAREN-EMPF - Empfänger) as standard field in S4
2. All users from SCD - no predefined user list required?
3. Contact for supplier on the PO Print out</t>
  </si>
  <si>
    <t>ZZMBE_PARTNER</t>
  </si>
  <si>
    <t>Contact person</t>
  </si>
  <si>
    <t>Ansprechpartner (Header OrgID)</t>
  </si>
  <si>
    <t>OrgDaten</t>
  </si>
  <si>
    <t>Name of contact person, who acts as invoice recipient and can differ from the requestor;
Contact person perosonal information is avaialable on PO Print out (not Requestor information!)</t>
  </si>
  <si>
    <t>1. To be replaced by  Invoice Receiver (WAREN-EMPF - Empfänger) as standard field in S4
2. All users from SCD - no predefined user list required?
3. Contact for supplier on the PO Print out</t>
  </si>
  <si>
    <t>AFNAM</t>
  </si>
  <si>
    <t>Requestor</t>
  </si>
  <si>
    <t>Anforderer (Line item)</t>
  </si>
  <si>
    <t>TBD: 
It must be ensured that the same person is always set as the requester in each position (possible error message when creating the order if there is a difference at position level)</t>
  </si>
  <si>
    <t>ZZBSART</t>
  </si>
  <si>
    <t>Order Type</t>
  </si>
  <si>
    <t>Bestellart</t>
  </si>
  <si>
    <t>T161</t>
  </si>
  <si>
    <t xml:space="preserve">SRE-specific PO Types. 
</t>
  </si>
  <si>
    <t>Based on PO naming  a difference between mandatory and non-mandatory PO should be visible on the PO printout in the title (for example Order and Order information)</t>
  </si>
  <si>
    <t>ZZEBELN</t>
  </si>
  <si>
    <t>Purchasing Document</t>
  </si>
  <si>
    <t>Einkaufsbeleg</t>
  </si>
  <si>
    <t>EKKO</t>
  </si>
  <si>
    <t>Relevant for amendments, includes the PO number of the order that is extended by the respective PR (as a new item).  
Automatic adjustment of the PO volume + automatic generation of PO texts.</t>
  </si>
  <si>
    <t>Replace Z Field with Standard S4 Field based on PO Type (if applicable), otherwise it is required
Check PO adjustment process and what is the link to the existing PO</t>
  </si>
  <si>
    <t>ZZM_VERTRAGSID</t>
  </si>
  <si>
    <t>Contract ID</t>
  </si>
  <si>
    <t>Vertrags ID</t>
  </si>
  <si>
    <t>General</t>
  </si>
  <si>
    <t>Free</t>
  </si>
  <si>
    <t>Reference in the PO to framework agreements  
If populated, a text with the ID of the framework agreement is automatically generated on the PO printout and is therefore visible to the supplier.
Contract ID is taken from SCM STAR (manually). Contract check is no longer used</t>
  </si>
  <si>
    <t>Storage of contracts directly in S4 System possible?
To discuss with Simon regarding future implementation S2C</t>
  </si>
  <si>
    <t>ZZRS_GUARANTY_C</t>
  </si>
  <si>
    <t>Guarantees</t>
  </si>
  <si>
    <t>Vertragserfüllungsbürgschaft</t>
  </si>
  <si>
    <t>Bürgschaft</t>
  </si>
  <si>
    <t>Checkbox</t>
  </si>
  <si>
    <t>Tracking of guarantees; payment blocks possible if guarantees are not available</t>
  </si>
  <si>
    <t>Procurement negotiates security performance 
During project execution, this information must be available and addressed during final acceptance.
Tool support to ensure that the invoice cannot be fully paid if it is not clarified whether a security retention or a guarantee is in place. In the case of a guarantee, release of the security retention and process handover to Accounting.
Tracking of the guarantee until receipt and “booking” (recording data so that new personnel can quickly find the data even 5 years later). Refer to pptx</t>
  </si>
  <si>
    <t>ZZRS_GUARANTY_W</t>
  </si>
  <si>
    <t>Gewährleistungsbürgschaft</t>
  </si>
  <si>
    <t>ZZM_X_SECURITY</t>
  </si>
  <si>
    <t>Immer Sicherheitseinbehalt</t>
  </si>
  <si>
    <t>ZZM_PROJECT</t>
  </si>
  <si>
    <t>Projekt</t>
  </si>
  <si>
    <t>ZSRE_MM_MBA_CPRJ</t>
  </si>
  <si>
    <t xml:space="preserve">No </t>
  </si>
  <si>
    <t>ZZM_X_EMAIL</t>
  </si>
  <si>
    <t>E-Mail to Buyer</t>
  </si>
  <si>
    <t>E-Mail an Einkäufer</t>
  </si>
  <si>
    <t xml:space="preserve">Buyer receives an e-mail when PO is sent </t>
  </si>
  <si>
    <t>No need of the specific field, biut rather the functionality</t>
  </si>
  <si>
    <t>YYBAULS</t>
  </si>
  <si>
    <t>Building contract</t>
  </si>
  <si>
    <t>Bauleistung</t>
  </si>
  <si>
    <t>Yes - No</t>
  </si>
  <si>
    <t>If YES, the selected supplier must have a valid exemption certificate filed in SAP -&gt; Verification of the exemption certificate in MDG at the PR level &amp; ReadSoft.
Deduction of Tax if certificate not available
Automatic generation of order texts.</t>
  </si>
  <si>
    <t>New process in SX Rel. 1220/1320, check of exemption certificate is performed upon invoice receiving and only for specific ESNs as pre PO. 
Refer to slides 18-21 WHT.
PO Print out to be extended (Functionality is availabe, need to be customized), contact Ali</t>
  </si>
  <si>
    <t>ZZVERSART</t>
  </si>
  <si>
    <t>Dispatch type</t>
  </si>
  <si>
    <t>Versandart</t>
  </si>
  <si>
    <t>YYM02</t>
  </si>
  <si>
    <t>Triggers automatic generation of text on the PO print out with reference to Siemens Terms &amp; Conditions based on the ordered service/goods (general, construction, design service etc.)</t>
  </si>
  <si>
    <t>YYECLASS</t>
  </si>
  <si>
    <t>eCl@ss</t>
  </si>
  <si>
    <t>ZZM_EFFORT_TM</t>
  </si>
  <si>
    <t>Abrechnungsart</t>
  </si>
  <si>
    <t>Fixed Values</t>
  </si>
  <si>
    <t>ZZM_HEBEL</t>
  </si>
  <si>
    <t>Hebel</t>
  </si>
  <si>
    <t>ZSRE_MM_MBA_CHBL</t>
  </si>
  <si>
    <t>ZZM_BUDGET</t>
  </si>
  <si>
    <t>Vergabe zu Budget</t>
  </si>
  <si>
    <t>ZZWOID</t>
  </si>
  <si>
    <t>Workorder ID</t>
  </si>
  <si>
    <t>ZZEHS_RELEVANT</t>
  </si>
  <si>
    <t>EHS relevant</t>
  </si>
  <si>
    <t>ZZZEKE</t>
  </si>
  <si>
    <t>Condition rate</t>
  </si>
  <si>
    <t>Konditionsbetrag - Einkaufserfolg NES</t>
  </si>
  <si>
    <t>Process</t>
  </si>
  <si>
    <t>Planned or Unplanned</t>
  </si>
  <si>
    <t>PO Doc type</t>
  </si>
  <si>
    <t>Item Category</t>
  </si>
  <si>
    <t>Acc Assignmt</t>
  </si>
  <si>
    <t>Validity Date</t>
  </si>
  <si>
    <t>Item Product Type</t>
  </si>
  <si>
    <t>Quantity</t>
  </si>
  <si>
    <t>Unit Price</t>
  </si>
  <si>
    <t>Limit</t>
  </si>
  <si>
    <t>Good/Service Receipt</t>
  </si>
  <si>
    <t>Non-Valuated GR</t>
  </si>
  <si>
    <t>Invoice Receipt</t>
  </si>
  <si>
    <t>GR-Based Invoice Verification</t>
  </si>
  <si>
    <t>DRAFT</t>
  </si>
  <si>
    <t>Consumption</t>
  </si>
  <si>
    <t>Planned</t>
  </si>
  <si>
    <r>
      <t xml:space="preserve">NB </t>
    </r>
    <r>
      <rPr>
        <sz val="8"/>
        <color rgb="FF000000"/>
        <rFont val="Arial"/>
        <family val="2"/>
      </rPr>
      <t>- Standard</t>
    </r>
  </si>
  <si>
    <t>- Standard</t>
  </si>
  <si>
    <t>K – Cost Center</t>
  </si>
  <si>
    <t>NA</t>
  </si>
  <si>
    <t>Optional</t>
  </si>
  <si>
    <t>SV - Normal PO with ref. to contract
SN - Normal PO with no ref. to offer</t>
  </si>
  <si>
    <r>
      <rPr>
        <sz val="11"/>
        <color rgb="FFFF0000"/>
        <rFont val="Calibri"/>
        <family val="2"/>
        <scheme val="minor"/>
      </rPr>
      <t xml:space="preserve">Autom. Text - nicht änderbar </t>
    </r>
    <r>
      <rPr>
        <sz val="11"/>
        <color theme="1"/>
        <rFont val="Calibri"/>
        <family val="2"/>
        <scheme val="minor"/>
      </rPr>
      <t xml:space="preserve">
</t>
    </r>
    <r>
      <rPr>
        <sz val="11"/>
        <color rgb="FFFF0000"/>
        <rFont val="Calibri"/>
        <family val="2"/>
        <scheme val="minor"/>
      </rPr>
      <t>Die Bestellung erfolgt zu unseren jeweils gültigen Bestellbedingungen, sofern nicht in dieser Bestellung auf abweichende Bedingungen verwiesen wird, die dann vorrangig gelten. 
Die Bestellbedingungen können Sie unter https://www.siemens.com/de/de/unternehmen/konzern/konzernfunktionen/supply-chain-management/zusammenarbeit-mit-siemens.html einsehen. Auf Wunsch werden wir Ihnen diese auch gerne zusenden.</t>
    </r>
    <r>
      <rPr>
        <sz val="11"/>
        <color theme="1"/>
        <rFont val="Calibri"/>
        <family val="2"/>
        <scheme val="minor"/>
      </rPr>
      <t xml:space="preserve">
</t>
    </r>
    <r>
      <rPr>
        <sz val="11"/>
        <color theme="9"/>
        <rFont val="Calibri"/>
        <family val="2"/>
        <scheme val="minor"/>
      </rPr>
      <t>Manuell
Einkäufer verweist im Kopftext auf die spezifische BB</t>
    </r>
  </si>
  <si>
    <t>Unplanned</t>
  </si>
  <si>
    <r>
      <t>NB</t>
    </r>
    <r>
      <rPr>
        <sz val="8"/>
        <color rgb="FF000000"/>
        <rFont val="Arial"/>
        <family val="2"/>
      </rPr>
      <t xml:space="preserve"> - Standard</t>
    </r>
  </si>
  <si>
    <t>B – Limit *</t>
  </si>
  <si>
    <t>No (1 AU)</t>
  </si>
  <si>
    <r>
      <rPr>
        <sz val="11"/>
        <color rgb="FFFF0000"/>
        <rFont val="Calibri"/>
        <family val="2"/>
        <scheme val="minor"/>
      </rPr>
      <t>Autom. Text - nicht änderbar 
Die Bestellung erfolgt zu unseren jeweils gültigen Bestellbedingungen, sofern nicht in dieser Bestellung auf abweichende Bedingungen verwiesen wird, die dann vorrangig gelten. 
Die Bestellbedingungen können Sie unter https://www.siemens.com/de/de/unternehmen/konzern/konzernfunktionen/supply-chain-management/zusammenarbeit-mit-siemens.html einsehen. Auf Wunsch werden wir Ihnen diese auch gerne zusenden.</t>
    </r>
    <r>
      <rPr>
        <sz val="11"/>
        <color theme="9"/>
        <rFont val="Calibri"/>
        <family val="2"/>
        <scheme val="minor"/>
      </rPr>
      <t xml:space="preserve">
Manuell
Einkäufer verweist im Kopftext auf die spezifische BB</t>
    </r>
  </si>
  <si>
    <t>Framework</t>
  </si>
  <si>
    <r>
      <t>FO</t>
    </r>
    <r>
      <rPr>
        <sz val="8"/>
        <color rgb="FF000000"/>
        <rFont val="Arial"/>
        <family val="2"/>
      </rPr>
      <t xml:space="preserve"> - Framework</t>
    </r>
  </si>
  <si>
    <t xml:space="preserve"> - Standard</t>
  </si>
  <si>
    <r>
      <t xml:space="preserve">SJ - </t>
    </r>
    <r>
      <rPr>
        <sz val="11"/>
        <color rgb="FFFF0000"/>
        <rFont val="Calibri"/>
        <family val="2"/>
        <scheme val="minor"/>
      </rPr>
      <t>Binding</t>
    </r>
    <r>
      <rPr>
        <sz val="11"/>
        <color theme="1"/>
        <rFont val="Calibri"/>
        <family val="2"/>
        <scheme val="minor"/>
      </rPr>
      <t xml:space="preserve"> Framework order with ref. to contract</t>
    </r>
  </si>
  <si>
    <r>
      <rPr>
        <sz val="11"/>
        <color rgb="FFFF0000"/>
        <rFont val="Calibri"/>
        <family val="2"/>
        <scheme val="minor"/>
      </rPr>
      <t>Autom. Text - nicht änderbar 
Die Bestellung erfolgt zu unseren jeweils gültigen Bestellbedingungen, sofern nicht in dieser Bestellung auf abweichende Bedingungen verwiesen wird, die dann vorrangig gelten. 
Die Bestellbedingungen können Sie unter https://www.siemens.com/de/de/unternehmen/konzern/konzernfunktionen/supply-chain-management/zusammenarbeit-mit-siemens.html einsehen. Auf Wunsch werden wir Ihnen diese auch gerne zusenden.</t>
    </r>
    <r>
      <rPr>
        <sz val="11"/>
        <color theme="1"/>
        <rFont val="Calibri"/>
        <family val="2"/>
        <scheme val="minor"/>
      </rPr>
      <t xml:space="preserve">
</t>
    </r>
    <r>
      <rPr>
        <sz val="11"/>
        <color theme="9"/>
        <rFont val="Calibri"/>
        <family val="2"/>
        <scheme val="minor"/>
      </rPr>
      <t>Manuell
Einkäufer verweist im Kopftext auf die spezifische BB.
Verweis auf VertragsID (Standardfeld?)</t>
    </r>
  </si>
  <si>
    <r>
      <t xml:space="preserve">UJ - </t>
    </r>
    <r>
      <rPr>
        <sz val="11"/>
        <color rgb="FFFF0000"/>
        <rFont val="Calibri"/>
        <family val="2"/>
        <scheme val="minor"/>
      </rPr>
      <t>Non-binding</t>
    </r>
    <r>
      <rPr>
        <sz val="11"/>
        <color theme="1"/>
        <rFont val="Calibri"/>
        <family val="2"/>
        <scheme val="minor"/>
      </rPr>
      <t xml:space="preserve"> Framework order with ref. to contract</t>
    </r>
  </si>
  <si>
    <r>
      <rPr>
        <sz val="11"/>
        <color rgb="FFFF0000"/>
        <rFont val="Calibri"/>
        <family val="2"/>
        <scheme val="minor"/>
      </rPr>
      <t>Bestellinformation
Autom. Text - nicht änderbar 
Die Bestellung erfolgt zu unseren jeweils gültigen Bestellbedingungen, sofern nicht in dieser Bestellung auf abweichende Bedingungen verwiesen wird, die dann vorrangig gelten. 
Die Bestellbedingungen können Sie unter https://www.siemens.com/de/de/unternehmen/konzern/konzernfunktionen/supply-chain-management/zusammenarbeit-mit-siemens.html einsehen. Auf Wunsch werden wir Ihnen diese auch gerne zusenden.</t>
    </r>
    <r>
      <rPr>
        <sz val="11"/>
        <color theme="9"/>
        <rFont val="Calibri"/>
        <family val="2"/>
        <scheme val="minor"/>
      </rPr>
      <t xml:space="preserve">
Manuell
Einkäufer verweist im Kopftext auf die spezifische BB.
Verweis auf VertragsID (Standardfeld?)</t>
    </r>
    <r>
      <rPr>
        <sz val="11"/>
        <color theme="1"/>
        <rFont val="Calibri"/>
        <family val="2"/>
        <scheme val="minor"/>
      </rPr>
      <t xml:space="preserve">
</t>
    </r>
    <r>
      <rPr>
        <sz val="11"/>
        <color theme="9"/>
        <rFont val="Calibri"/>
        <family val="2"/>
        <scheme val="minor"/>
      </rPr>
      <t xml:space="preserve">Diese Bestellinformation ist rechtlich unverbindlich und dient nur zur Information über den voraussichtlichen Bedarf an
Lieferungen und Leistungen innerhalb des Geltungszeitraumes der Bestellinformation. </t>
    </r>
  </si>
  <si>
    <t>Lean Service</t>
  </si>
  <si>
    <t>Yes – 2-Service</t>
  </si>
  <si>
    <t>TBD</t>
  </si>
  <si>
    <t>E- Enhanced Limit</t>
  </si>
  <si>
    <t>Role</t>
  </si>
  <si>
    <t>S4</t>
  </si>
  <si>
    <t>User Group</t>
  </si>
  <si>
    <t>Processes Purchase Requisitions (PR)</t>
  </si>
  <si>
    <t>Person in a Siemens entity who has a demand and creates or   arranges the creation of a purchase requisition in the order processing   system. The requisitioner defines the technical and logistic   requirements of the demand.</t>
  </si>
  <si>
    <t>Expert (Synonym: Process Owner)</t>
  </si>
  <si>
    <t>Involved in predefined use cases in PR or PO to validate and update data for dedicated purpose (EHS expert, asset accounting...)</t>
  </si>
  <si>
    <t>Person who is fulfilling neither financial approval nor signature  mandate on behalf of the company. People from different departments   check various governance functions, e.g. Tax, Customs, Compliance,   asset, other accounting details</t>
  </si>
  <si>
    <t>Processes PR and creates PO, Order Confirmations and Claims/Returns</t>
  </si>
  <si>
    <t>Person who carries out the operational purchasing transactions.</t>
  </si>
  <si>
    <t>Approver</t>
  </si>
  <si>
    <t>Approves POs based on a signature mandate</t>
  </si>
  <si>
    <t>managers with a signature authorization mandate</t>
  </si>
  <si>
    <t>Responsibility of the approval step with the person having the   knowledge. Person who has been appointed an authorized signatory   for approval, either internally (USB) and/or externally (executive   authority). The principle of two independent signatures shall be   maintained. A person may be granted both internal and external   authority.</t>
  </si>
  <si>
    <t>Buyer</t>
  </si>
  <si>
    <t>Executes buying activities (eg retrieves quotes from supplier, determines sources), could act as an Expert predefined use cases in PR or PO to validate and update data for dedicated purpose</t>
  </si>
  <si>
    <t>Strategic Buyer</t>
  </si>
  <si>
    <t>SCM Procurement employees or mandated people based on Commodity assignment</t>
  </si>
  <si>
    <t>Strategic purchaser and local contact for Requisitioner in relation to all   purchasing topics and the entire purchasing process.</t>
  </si>
  <si>
    <t>Feature assignment #</t>
  </si>
  <si>
    <t>Feature Description</t>
  </si>
  <si>
    <t>Wave - Sprint</t>
  </si>
  <si>
    <t>Epic ID Polarion</t>
  </si>
  <si>
    <t>Capability ID Polarion</t>
  </si>
  <si>
    <t>Feature ID Polarion</t>
  </si>
  <si>
    <t>Process steps</t>
  </si>
  <si>
    <t>Story #</t>
  </si>
  <si>
    <t>Level 4</t>
  </si>
  <si>
    <t>P2R Indirect Business Purpose</t>
  </si>
  <si>
    <t>P2R</t>
  </si>
  <si>
    <t>SX-xxxx - to be added later</t>
  </si>
  <si>
    <t>Catalogue/ EPR Demands for Goods</t>
  </si>
  <si>
    <t>Ordering, processing, and claims</t>
  </si>
  <si>
    <t>Request Goods &amp; Services</t>
  </si>
  <si>
    <t>Create Purchase Requisition</t>
  </si>
  <si>
    <t>I want to get an overview of the suppliers delivery performance and an alerting, if known delivery problems were reported for this supplier</t>
  </si>
  <si>
    <t>so that I can choose another supplier if the delivery performance is too low for my needs</t>
  </si>
  <si>
    <t>1. Create a PR.
2. Get the supplier delivery performance.</t>
  </si>
  <si>
    <t>Create / Place Purchase Order</t>
  </si>
  <si>
    <t>Share Purchase Order with Supplier</t>
  </si>
  <si>
    <t>As a purchaser,</t>
  </si>
  <si>
    <t>I want that the PO printout contains required data and a local design</t>
  </si>
  <si>
    <t>so that local regulations about content and guideline for design are ful-filled.</t>
  </si>
  <si>
    <t>Purchaser opens the PO and checks the layout and required data.</t>
  </si>
  <si>
    <t>As a requisitioner,</t>
  </si>
  <si>
    <t>I want to edit the PR via smartphone and tablet (if required)</t>
  </si>
  <si>
    <t>so that I can minimize the throughput time.</t>
  </si>
  <si>
    <t>1.	Create multiple PRs.
2.	Check if the PR is editable via tablet.
3.	Check if the PR is editable via smartphone.</t>
  </si>
  <si>
    <t>Receive Goods &amp; Services</t>
  </si>
  <si>
    <t>Confirm Receipt of Goods &amp; Services</t>
  </si>
  <si>
    <t>As a process owner,</t>
  </si>
  <si>
    <t>I want that invoices for trusted partner are paid without GR / performance receipt booking</t>
  </si>
  <si>
    <t>so that a lean processing time can be ensured.</t>
  </si>
  <si>
    <t>1. Create a PO with a trusted partner.
2. Create an invoice without deviations.
3. Invoice is paid without GR / performance receipt booking.</t>
  </si>
  <si>
    <t xml:space="preserve">Two-way-match (price, quantity) applies. </t>
  </si>
  <si>
    <t xml:space="preserve">I want to to have a two-way match for catalog/ EPR requisitions </t>
  </si>
  <si>
    <t>so that the invoice payment is faster in execution and reducing effort for requisitioners</t>
  </si>
  <si>
    <t>1.	Create a PR with GR expected.
2.	Create a PO. 
3.	Post invoice. 
4.	Check if requsitioner receives a  webcycle for missing GR.
5. 	Book GR
6. 	Create a PR without GR expected.
7.	Create a PO. 
8.	Post invoice. 
9.	Check if requistioner receives a webcycle for performance receipt.</t>
  </si>
  <si>
    <t xml:space="preserve">I want to define the rules for preset if a GR is expected or not, based on ESN and /or UoM = AU  </t>
  </si>
  <si>
    <t xml:space="preserve">so that desired GR or performance receipt process will be triggered </t>
  </si>
  <si>
    <t>1.	 Create PR with  UoM = AU.
2.	Check if GR expected flag is not set.
3.	 Create PR with  UoM unequal AU.
4.	Check if GR expected flag is set
5.	Create PR with a service ESN. 
6.	Check if GR expected is not set.
7.	Create PR with a non service ESN.
8.	Check if GR expected is set.</t>
  </si>
  <si>
    <t xml:space="preserve">...the structure of the myMall shopping basket to be carried over into S/4 </t>
  </si>
  <si>
    <t>I cannot add or delete line items in PR. If the PR needs to be changed, the requisitioner must reject the PR in S/4 and a create a new one in myMall. The structure of the PR cannot be changed by simply adding new line items or deleting existing line items.</t>
  </si>
  <si>
    <t>…information relayed from the backend to myMall is consistent with the origin shopping basket and the PO status can be checked.</t>
  </si>
  <si>
    <t>1.	If requisitioner tries to delete line item in PR, no possibility is offered.
2.	If requisitioner tries to add line item, no possibility offered.
3.	Deletion of entire PR is possible.</t>
  </si>
  <si>
    <t>Priority: low</t>
  </si>
  <si>
    <t>...add or delete line items in PR.</t>
  </si>
  <si>
    <t>If the PR needs to be changed, the requisitioner must reject the PR in S/4 and a create a new one in myMall. The structure of the PR cannot be changed by simply adding new line items or deleting existing line items.</t>
  </si>
  <si>
    <t>1.	Requisitioner opens PR and he is able to delete line item in PR
2.	Requisitioner opens PR and he is able to add line item in PR
3.	Deletion of entire PR is possible.</t>
  </si>
  <si>
    <t>...change prefilled data and I want to add mandatory data which are not prefilled.</t>
  </si>
  <si>
    <t>Only a subset of mandatory information are transferred into the PR and need to be adjusted/ added on demand</t>
  </si>
  <si>
    <t xml:space="preserve">...the PR is correct for further processing. </t>
  </si>
  <si>
    <t>Edit prefilled data fields, e.g.
1.	Account assignment category, accounting element 
2.	Delivery address
Edit empty data fields, e.g.
1.	G/L Account</t>
  </si>
  <si>
    <t>Priority: medium</t>
  </si>
  <si>
    <t>...process activities in my local language</t>
  </si>
  <si>
    <t>Processing steps shall be displayed in local language on the UI</t>
  </si>
  <si>
    <t>...I can fully understand what data is required.</t>
  </si>
  <si>
    <t>After backend login system language is in the desired language.</t>
  </si>
  <si>
    <t xml:space="preserve">...want to have mixed shopping baskets transferred from myMall automat-ically split into order types </t>
  </si>
  <si>
    <t>Related Order types in a Shopping Cart shall be split into different PRs</t>
  </si>
  <si>
    <t xml:space="preserve">...specific follow-on processes can be initiated. </t>
  </si>
  <si>
    <t>Requisitioner see in PR overview up to 3 PRs depending on amount of different order types in myMall shopping basket.
1.	All catalog line items and easy price request line items are visible in one PR.
2.	All limit line items are visible in one PR.
3.	All free text line items are visible in one PR.</t>
  </si>
  <si>
    <t>Priority: high</t>
  </si>
  <si>
    <t xml:space="preserve">I want to decide if a GR is expected or not </t>
  </si>
  <si>
    <t xml:space="preserve">so that the desired GR or performance receipt process will be triggered. </t>
  </si>
  <si>
    <t>Services</t>
  </si>
  <si>
    <t>...want to be able to generate mass PRs (on a yearly basis) via upload or interface (actually based on Excel)</t>
  </si>
  <si>
    <t>no manual effort for PR creation</t>
  </si>
  <si>
    <t xml:space="preserve">Upload functionality based </t>
  </si>
  <si>
    <t xml:space="preserve">...want to suppress (via a flag) price and quantity from the PO printout </t>
  </si>
  <si>
    <t>...price and quantity are not displayed in the PO printout sent to the supplier.</t>
  </si>
  <si>
    <t>Acceptance Criteria 
1.	Requisitioner checks if flag is also set in PO.
2.	Requisitioner checks in PO printout if price &amp; quantity is not visible.</t>
  </si>
  <si>
    <t>I do not want to create POs for suppliers / topics mentioned in the exception list</t>
  </si>
  <si>
    <t>so that the local procurement standard is fulfilled.</t>
  </si>
  <si>
    <t>n/a</t>
  </si>
  <si>
    <t xml:space="preserve">Invoice payment without PO.
Pain point for accounting: non PO invoices; Recommendation 100% PO driven environment; clarifications needed; big ARE - multiple teams involved </t>
  </si>
  <si>
    <t>I want to insert the retention ID is separate field
I want to be notified if defined G/L account inserted and no ID inserted field</t>
  </si>
  <si>
    <t xml:space="preserve">so that entire process is supported incl. invoice processing.  </t>
  </si>
  <si>
    <t>1. Create a PR.
2. Enter the relevant G/L account.
3. An error message appears if customer field is empty.
4. Enter the ID - no error message appears.</t>
  </si>
  <si>
    <t>I want to insert the Spodom ID is separate field
I want to be notified if defined G/L account inserted and no ID inserted field above a threshold</t>
  </si>
  <si>
    <t>1. Create a PR.
2. Enter the relevant G/L account.
3. An error message appears if customer field is empty.
4. Enter the ID - no error message appears</t>
  </si>
  <si>
    <t xml:space="preserve">1. Check Purchase Requisiton
2. Adjust Purchase Requisition and / or inquire with requester
S of the verification and completion is to ensure correct content of the Purchase Requisition. The process can be in interaction between the Purchasing Center (or Local Buyer/ Commodity Manager) and the requester (ping-pong principle). Throughout central clearing the Purchase Requisition are also assigned to the suitable purchasing group for further processing. 
The procurement verification step is either being performed by an operational buyer from Purchasing Center, a Local Buyer or a Commodity Manager. Which purchaser is actually being involved is due to purchasing group determination.
Worksplit possible (e.g.DE) GBS, CM, GBS
</t>
  </si>
  <si>
    <t xml:space="preserve">I want to add and delete line items </t>
  </si>
  <si>
    <t xml:space="preserve">so that the requested services and / or goods are allocated to the ESN and displayed correctly according to quotations or contracts. </t>
  </si>
  <si>
    <t>1.	Open PR as a purchaser and add a line item to existing PR
2.	Open PR and delete one line item</t>
  </si>
  <si>
    <t xml:space="preserve">Priority: medium </t>
  </si>
  <si>
    <t xml:space="preserve">As a purchaser, </t>
  </si>
  <si>
    <t>I want to receive new PRs in my work overview (no notification needed)</t>
  </si>
  <si>
    <t>1.	PR is created.
2.	Purchaser receives new PRs in their work overview.</t>
  </si>
  <si>
    <t>I want to receive a notification about new PRs in the system</t>
  </si>
  <si>
    <t>so that I shorten the throughput time.</t>
  </si>
  <si>
    <r>
      <t>1.</t>
    </r>
    <r>
      <rPr>
        <sz val="7"/>
        <color theme="1"/>
        <rFont val="Times New Roman"/>
        <family val="1"/>
      </rPr>
      <t> </t>
    </r>
    <r>
      <rPr>
        <sz val="7"/>
        <color theme="1"/>
        <rFont val="Calibri Light"/>
        <family val="2"/>
        <scheme val="major"/>
      </rPr>
      <t xml:space="preserve"> </t>
    </r>
    <r>
      <rPr>
        <sz val="11"/>
        <color theme="1"/>
        <rFont val="Calibri Light"/>
        <family val="2"/>
        <scheme val="major"/>
      </rPr>
      <t>PR with relevant criteria created.</t>
    </r>
    <r>
      <rPr>
        <sz val="11"/>
        <color theme="1"/>
        <rFont val="Calibri"/>
        <family val="2"/>
        <scheme val="minor"/>
      </rPr>
      <t xml:space="preserve">
2.  PR assigned to puchaser.
3.  Purchaser notified.</t>
    </r>
  </si>
  <si>
    <t>I want to get notified when my created PR got rejected incl reason</t>
  </si>
  <si>
    <t xml:space="preserve">so that I’m informed immediately incl. reason. </t>
  </si>
  <si>
    <t>1.	PR rejected from purchser
2.	Requisitioner notified about rejected PR incl reason</t>
  </si>
  <si>
    <t>Priority: medium
How to inform participants in rejected PRs?</t>
  </si>
  <si>
    <t>I want to send back the PR to the requisitioner in case of clarification incl comment what is missing</t>
  </si>
  <si>
    <t>1.	The purchaser opens the PR.
2.	Add comment and assign to requisitioner.
3.	Requisitioner receives notification. 
4.	Requisitioner add required data and assigns back to purchaser.</t>
  </si>
  <si>
    <t>I want to edit all data fields incl myMall transferred data</t>
  </si>
  <si>
    <t>1.	Purchaser opens assigned PR.
2.	Purchaser check all field if editable.</t>
  </si>
  <si>
    <t>As a purchaser, 
As a process owner,</t>
  </si>
  <si>
    <t xml:space="preserve">I want to receive only PRs which are relevant for me
I want that PGroups are determined automatically
a.	Small businesses / countries:
-	ESN 
-	Value
-	Company code
-	Order type 
b.	Bigger businesses / countries:  
- Organizational data (department), e.g. GBS* 
- Location </t>
  </si>
  <si>
    <t xml:space="preserve">so that I can work efficiently. 
so that PRs can be assigned to purchasers. 
</t>
  </si>
  <si>
    <t>One of the following combinations has to be selected for verification:
1.	Create PR
2.	correct PGroup automatically determined according to the settings
3.	Assigned purchaser(s) can see the PR in work overview</t>
  </si>
  <si>
    <t>As a business representative,
As a purchaser,</t>
  </si>
  <si>
    <t xml:space="preserve">I want to decide about purchasing involvement
I want to receive PRs in my area of responsibility </t>
  </si>
  <si>
    <t>so that the requested goods and / or services are verified pending on complexity level and thresholds.
so that I can process efficient the PRs assigned to me.</t>
  </si>
  <si>
    <t>1.	Create different PRs with different data (value, ESN, organization), 
2.	check if additional purchaser(s) are correctly determined based on defined criteria</t>
  </si>
  <si>
    <t xml:space="preserve">1. Expert step: Am I allowed to order?
Specific commodity experts are required (e.g. hazardous materials) according to local legal requirements and internal regulations (roll-in activity).
The S of the first expert verification process step is for the expert to check if it is permitted to order the required goods / services.
The following activities will be performed by the expert:
1.	Select PR
In the work overview the expert receives the PR for review. The expert selects the PR and opens it for further processing. 
2.	Check PR   
The content of the PR is checked by the expert according to local regulations.
3.	Approve PR
The validation is noted via approve / reject button. On receiving the expert’s confirmation, the PR will be sent to the next process step.
Communication: 
Expert, purchaser and requisitioner communicate offline when clarification required 
</t>
  </si>
  <si>
    <t>As an expert,</t>
  </si>
  <si>
    <t xml:space="preserve">1.	Create a PR with expert approval step. 
2.	Expert receives notification.  </t>
  </si>
  <si>
    <t xml:space="preserve">so that I can initiate a clarification process, inform the business and po-tentially create a new shopping basket. </t>
  </si>
  <si>
    <t xml:space="preserve">I only want to approve or reject PRs </t>
  </si>
  <si>
    <t xml:space="preserve">so that the processing time is efficient. </t>
  </si>
  <si>
    <t>1.	Assign PRs to a specific expert. 
2.	The expert cannot edit the PR, the PR can only be approved or re-jected.</t>
  </si>
  <si>
    <t>I want that a PR is in total rejected if one line item is rejected</t>
  </si>
  <si>
    <t>so that only the entire PR will be processed.</t>
  </si>
  <si>
    <t xml:space="preserve">1.	Create PR with multiple line items and expert approval step. 
2.	Expert rejects line item. 
3.	Entire PR is rejected. </t>
  </si>
  <si>
    <t>I want to be able to forward a work item to a specific approver</t>
  </si>
  <si>
    <t>1.	An expert opens the PR and forward a work item to a specific ex-pert. 
2.	The work item is in the work overview of the new expert chosen.
3.	The expert name is visible in the general workflow overview.</t>
  </si>
  <si>
    <t xml:space="preserve">I want that that approval table entries will be adjusted regularly  </t>
  </si>
  <si>
    <t>so that experts are determined correctly.</t>
  </si>
  <si>
    <t>1.	Open a ticket or address topic to a user with respective authoriza-tions.
2.	Approval table is adjusted.
3.	Approval restart assigns the correct approver.</t>
  </si>
  <si>
    <t>I want the various experts to be determined based on specific criteria</t>
  </si>
  <si>
    <t>Criteria:
-	Company code 
-	Ordering process (free text, limit, catalog)
-	Accounting assignment category / type
-	ESN
-	Value from - value to
-	Currency
-	Special methods for optimized maintenance, e.g.
-	Evaluate special ESN / commodities
-	Exclude special commodities
-	Evaluate step in case of various G/L accounts
-	Additional for bigger organizations / countries: 
-	Department (e.g. CF R) for purchasing / expert verification 
-	Location (e.g. Mch* e.g. personal protective equipment man-ager only responsible for one location)</t>
  </si>
  <si>
    <t>so that each expert can check if the requisitioner is permitted to order the required goods and / or services.</t>
  </si>
  <si>
    <t>Create multiple PRs with above mentioned criteria to determine the ap-propriate expert and check if the correct expert was allocated in the workflow.</t>
  </si>
  <si>
    <t>The S of the PO creation process step is to finalize the PO and forward for approval.
The following activities will be performed by the purchaser:
1.	Create PO
If a PR is created with several line items for multiple suppliers, the PR will be split into multiple POs per supplier.
For PO creation we differentiate between order types:
a.	Catalog order
The PO creation of purchase orders from preceding PR is automated. Since catalog items are pre-negotiated goods and services all relevant data for purchase order creation are known. Therefore, no purchaser interaction is necessary. 
b.	Free text / limit order
There are two options to create a PO out of PR within the limit / free text process:
-	The PR data is complete, and no further activities are required. The PO needs to be created automatically.
-	The PR data are incomplete and / or further activities are necessary. In this case the PO needs to be created manually.  
2.	Edit PO (valid for free text / limit order)
The assigned purchaser (Operational Buyer, Regional Procurement Manager or Commodity Manager) can edit the PO. 
Necessary data fields, which are not covered in PR, will be completed manually in the system, e.g. 
-	Printout media, e.g. no output flag
-	Goods receipt
-	Goods receipt reminder (roll-in activity)
-	Deactivation of the dunning process (roll-in activity)
3.	Order PO
Dependent on ordering type and procurement involvement, the PO will be ordered via system / purchaser.
According to local approval regulations, the PO will be forwarded to the assigned approver and / or supplier.</t>
  </si>
  <si>
    <t>for free text / limit PRs
I want to have POs automatically created and send for approval
(all mandatory data incl. fixed supplier are entered)</t>
  </si>
  <si>
    <t>so that the PO creation step needs no involvement of a purchaser.</t>
  </si>
  <si>
    <t>1.	The purchaser processes the PO (all mandatory data fields are a filled incl. fixed supplier) 
2.	The PO should be created automatically and sent for approval after PR is released by procurement.</t>
  </si>
  <si>
    <t>for free text / limit PRs
I want to create the PO manually in case of using the desired supplier instead of a fixed supplier</t>
  </si>
  <si>
    <t>so that I can change the default output media and contact data in the PO.</t>
  </si>
  <si>
    <t xml:space="preserve">1.	The purchaser processes PO (all mandatory data fields are a filled and fixed supplier is not used)
2.	The PO is not created automatically
3.	The PO can be created manually and the output media and contact data can be edited. </t>
  </si>
  <si>
    <t>I want to suppress the price in the PO (either prefilled from PR or manually in PO)</t>
  </si>
  <si>
    <t>so that the estimated budget is not displayed in the PO printout and can-not be seen by the supplier.</t>
  </si>
  <si>
    <t xml:space="preserve">1.	Create PO with activated flag. 
2.	Open PO printout and check if price is not displayed. </t>
  </si>
  <si>
    <t>I want that relevant data is provided to the HANA Data Lake (GBDI)</t>
  </si>
  <si>
    <t>I want to be able to change payment terms and incoterms which are pro-vided / prefilled according to supplier master data</t>
  </si>
  <si>
    <t>1.	Create a PO.
2.	Check if payment terms and incoterms are prefilled according to entries in supplier master data.</t>
  </si>
  <si>
    <t>I want to have my contact data displayed on PO printout and EDI mes-sage based on the PGroup data 
(free text / limit data of purchaser should be displayed; 
catalog / EPR data of a central address should be possible)</t>
  </si>
  <si>
    <t>I want that the correct invoice email address and POR email address are  derived and displayed correctly on the PO printout and transferred cor-rectly in the EDI segments</t>
  </si>
  <si>
    <t xml:space="preserve">As a requisitioner, </t>
  </si>
  <si>
    <t xml:space="preserve">I want that the BuyerParty &amp; BilltoParty ORG-ID is determined </t>
  </si>
  <si>
    <t>so that the PO contains correct data for EDI processing.</t>
  </si>
  <si>
    <t>Purchaser opens the PO and checks if the ORGIDs are correctly deter-mined.</t>
  </si>
  <si>
    <t>I want that for all countries where tax rates is required in the PO, 
tax rates are correct determined</t>
  </si>
  <si>
    <t>Priority: high
Pain point accounting:
set flag (service, goods) in PO</t>
  </si>
  <si>
    <t xml:space="preserve">Priority: medium
Pain point accounting:
set flag (service; goods) in PO </t>
  </si>
  <si>
    <t>I want for all countries where construction withholding tax is required in the PO, building withholding tax is correctly determined</t>
  </si>
  <si>
    <t>so that tax regulations are apply.</t>
  </si>
  <si>
    <t>1.	Create PO for a tax relevant country. 
2.	Check if constructoin withholding tax is correctly determined in the PO.</t>
  </si>
  <si>
    <t xml:space="preserve">I want for all countries where VAT ID is required in the PO 
that the VAT ID is correctly determined </t>
  </si>
  <si>
    <t>1.Create a PR.
2. Try to choose an unqualified supplier 
3. Supplier should not be displayed</t>
  </si>
  <si>
    <t>Incl. also in direct sourcing workstream.</t>
  </si>
  <si>
    <t>I want that invoices for trusted partner are paid 
without GR / performance receipt booking</t>
  </si>
  <si>
    <t>1. Create a PR/ PO
2. Get the supplier delivery performance</t>
  </si>
  <si>
    <t xml:space="preserve">
2. Expert step: Correct processing of PO? 
The determination of the required experts happens automatically based on defined conditions. The following experts could be involved in the purchase order completion step:
•	Financial Expert: The Financial Expert will have to validate, complete and confirm the accounting data of the purchase order.
•	Asset Manager: If the purchase order contains asset related items, the asset manager will be involved for completion. The asset manager needs to access the purchase order and verify and change the asset related data in the line item accounting data.
•	ECC Officer: In case the purchase order contains items which are ECC relevant
•	Tax: Potential involvement in expert verification</t>
  </si>
  <si>
    <t>I want that the entire PO is rejected when a line item gets rejected</t>
  </si>
  <si>
    <t>so that only the entire PO can be processed.</t>
  </si>
  <si>
    <t>1.	Open the PO in a work overview.
2.	Reject one line item. 
3.	Either no possibility to reject one line item or rejection of line item leads to the rejection of entire PO.</t>
  </si>
  <si>
    <t>As a PO expert,</t>
  </si>
  <si>
    <t>I want to receive a push notification when new POs for approval arise</t>
  </si>
  <si>
    <t>As a PR requisitioner,</t>
  </si>
  <si>
    <t xml:space="preserve">I want to get informed and notified about the reason if a PO is rejected </t>
  </si>
  <si>
    <t>so that I do not have to check proactively in the system the status of POs.</t>
  </si>
  <si>
    <t>1.	Create PO where an expert approval is required.
2.	 The expert rejects the PO.
3.	 Check if the PR requisitioner receives a push notification.</t>
  </si>
  <si>
    <t>I want that PO experts are determined based on following criteria
1.	Company Code
2.	ESN
3.	Value
4.	Accounting data
5.	Supplier master data
6.	Cross border business (country of delivery address, country of sup-plier, country of requisitioner)</t>
  </si>
  <si>
    <t>so that the experts can verify the PO 
and if necessary, edit relevant fields 
(e.g. account assignment, accounting element ...).</t>
  </si>
  <si>
    <t xml:space="preserve">Create a PO with relevant data for expert determination. 
2. Check if the PO expert is correct determined.  </t>
  </si>
  <si>
    <t>I want to edit relevant data fields in the PO, if required 
(e.g. asset accounting expert wants to change accounting data)</t>
  </si>
  <si>
    <t>As an asset expert,</t>
  </si>
  <si>
    <t>Process not finally defined yet (resp. Christina Freudiger)</t>
  </si>
  <si>
    <t xml:space="preserve">Process not finally defined yet (resp. Christina Freudiger) </t>
  </si>
  <si>
    <t xml:space="preserve">The S of the LoA approval process step is to approve the PO according to the signature circular stipulations.
[Circular “Granting and exercise of signature authorizations”, No. 1_C_109, Version 2.4] 
The following chapter is based on the existing signature circular and local regulations. A revision of the circular is planned for 2022 within the SHERPA program (BPH strategic procurement).
With a signature, the approver confirms the correctness of a PO regarding financial, tax related and, both internal and external legal requirements. 
The LoA approver determination is configured according to certain rules: 
-	Applicable approval levels are identified, e.g. based on total value, item value, etc. 
-	The corresponding approver is assigned, e.g. based on accounting data. The approval task is based on the line item. 
Approval is dependent on the valid signature authorization mandate. 
For the LoA approval part there could be up to two approval steps determined depending on PO value based on signature circular. Above 5.000EUR two approvals are mandatory. One of the approvers must be a commercial approver.
In general there is functional and commercial approver involved. For high value POs some units involve additional approvers 
In general, S/4 should allocate approvers based on accounting elements. External data sources, comparable to the existing SAMIS tool, should be taken into consideration for future usage (roll-in activity).
Approval
An approver should be able to approve POs without logging into the S/4 system. The following solutions should be provided:
-	Fiori app 
-	Unified Worklist (UWL) mobile phone app already exists for Germany
-	Email with approval functionality or similar solution
The following activities will be performed by the approver:
1.	Select PO
The approver should be notified about newly created POs for approval. The notification, e.g. via email, should contain a link to open and review the PO and attached documents in Fiori app.
Within the work overview in S/4 Fiori, Fiori app or UWL, the approver should receive the PO for approval. The manager selects the purchase order and opens it for further processing.
2.	Check PO  
The approver checks the details in the PO.
3.	Approve PO 
The approver approves or rejects the allocated PO, a change option is not permitted for their role. 
In case of PO rejection, 
-	the approver should state reasons for their decision. A comment should be added into the notification field.
-	line items are not considered as independent. If one line item should be rejected in the PO, the entire PO including all line items should be rejected. 
The purchaser can still make changes to the PO when, e.g., a reason for rejection is provided by a manager. 
In case of PO approval,
-	the next level of approval should be determined by the system, depending on local requirements. 
-	and no further approvals are required, the PO is finally approved and should be sent to the supplier, unless stated otherwise in the PO.
Adaption of delivery date 
-	Situation: In some cases, the processing lead time and approval of the PR / PO takes longer than usual.
-	Challenge: A delivery date in the past should be avoided.
-	Solution: The delivery date should be adapted automatically after final approval.
Determination of approver 
Approver determination can be configured via certain rules. 
-	In a first step applicable approval levels need to be identified, e.g. based on accounting data, total value, item value etc. (roll-in activity). 
-	The approval work item should be based on line item level.
-	A potential risk has to be considered:
-	Situation: For a few businesses, e.g. SRE and some WBS elements of SMO, the automated determination of approvers is not possible.
-	Challenge: Determine the correct approver.
-	Solution: Replace “dummy approver” with an existing approver (non standard functionality).
Execution of approval 
-	Situation: The validation of the individual signature mandate during approval is not foreseen.
-	Challenge: The system should not validate whether the approver / substitute (still) has the necessary authorization to perform the action. In case the approver is not authorized (anymore), no error message should inform them to redirect the process to a different authorized approver out from the work list, nor to inform the system support.
-	Solution: The principle of ownership culture applies. The approver should be aware if they are authorized and the right addressee to perform the particular approval. 
</t>
  </si>
  <si>
    <t>I want that approvers are determined based on the signature circular and local regulation based on
1.	SAP System
2.	Company Code
3.	Document type (freetext / catalog and easy price request / limit)
4.	Internal / External orders
5.	Value (from, to), currency based on “business transaction 
tables”) or level of authority 
6.	Accounting type
7.	Accounting element: for WBS, order, asset, etc.
the “responsible cost center” of accounting element should be used 
8.	Role (functional or commercial approver)
9.	“Substitution flag” (to identify the correct approver if more than one approver has the identical authorization for the same cost center)
10.	Databases for signature authorizations (e.g. SAMIS, SIGN) can be used for prefilling of approval tables. If no database is exists, a manual maintenance option should be offered. 
11.	An efficient method for maintenance should be considered</t>
  </si>
  <si>
    <t>so that approval is according to the Siemens guideline.</t>
  </si>
  <si>
    <t>3.	Create multiple POs with different values and account assignment categories.
4.	Check if the correct amount of approval steps is determined.
5.	Check if the correct approvers are determined.</t>
  </si>
  <si>
    <t>As a LoA approver,</t>
  </si>
  <si>
    <t xml:space="preserve">I want to approve via smartphone, tablet or computer 
and all necessary data for decision are provided </t>
  </si>
  <si>
    <t>1.	Create multiple POs.
2.	Check the opportunity for approval for tablet, computer and smartphone.
3.	All relevant data are correctly displayed for decision.
4.	Check if the POs can be approved and rejected via smartphone, tablet or computer.</t>
  </si>
  <si>
    <t>I want that approvers are determined on item level based on total value of PO and a PO approval is given when all line items are approved</t>
  </si>
  <si>
    <t>so that approvers only be responsible for their dedicated line items.</t>
  </si>
  <si>
    <t xml:space="preserve">1.	Create multiple POs with different cost center with a higher value (total value of PO would determine a different approver than line item value).
2.	Check if the approvers are determined based on total PO value.
3.	Check if the PO is not approved if not all approvals are executed.
4.	Check if the PO is approved if all approvals are executed.  </t>
  </si>
  <si>
    <t xml:space="preserve">1.	Create a PO with multiple approvers.
2.	One approver rejects the PO.
3.	Check if the PO has status “rejected”.
4.	Check if work items from other approvers disappears. </t>
  </si>
  <si>
    <t>I want to edit rejected Pos</t>
  </si>
  <si>
    <t>1.	Create a PO.
2.	Reject a PO.
3.	The purchaser opens a rejected PO and edits the PO.
4.	The PO is sent for approval (again).</t>
  </si>
  <si>
    <t xml:space="preserve">I want that work items which cannot be approved by the selected ap-prover
(no substitute maintained) 
should be manually forwarded to a substitute </t>
  </si>
  <si>
    <t>1.	Create a PO.
2.	User with the respective authorizations can forward the PO work item. 
3.	Check if new assigned approver can see and approve / reject the PO.</t>
  </si>
  <si>
    <t>I want to receive a push notification if a new PO is assigned to me for approval</t>
  </si>
  <si>
    <t xml:space="preserve">1.	Create a PO with LoA approval step.
2.	Check if a LoA approver received a push notification. </t>
  </si>
  <si>
    <t>I want to receive a push notification with a comment
if the respective PO of my PR is rejected</t>
  </si>
  <si>
    <t>1.	Create a PO.
2.	Reject a PO with reason for rejection (reason is mandatory).
3.	Check if requisitioner receives a notification incl. reason for rejection.</t>
  </si>
  <si>
    <t>I want in case of cost splitting within a line item, 
(approver per cost center) 
that all involved approvers have to approve the PO</t>
  </si>
  <si>
    <t>so that all budget responsible have signed.</t>
  </si>
  <si>
    <t>1.	Create a PO with several cost centers so that multiple LoA approver are required.
2.	Check if all approvers are determined.
3.	Check if all approvers have a work item in their work overview.
4.	All approvers need to approve.
5.	Check if approval step has the status “approved"</t>
  </si>
  <si>
    <t xml:space="preserve">I want to approve all line items in a PO (which are assigned to me) with  one click </t>
  </si>
  <si>
    <t>Use case 1: A PO with different accounting types, one cost center
line item 1 - asset - cost center 1 and 
line item 2 - cost center - cost center 1  
Use case 2: different cost centers, one approver 
line item 1 - cost center 1 - approver 1 and 
line item 2 - cost center 2 - approver 1</t>
  </si>
  <si>
    <t>1.	Create a PO with the following data
Use case 1: A PO with different accounting types, one cost center
line item 1 - asset - cost center 1 and 
line item 2 - cost center - cost center 1  
Use case 2: different cost centers same approver  
line item 1 - cost center 1 - approver 1 and 
line item 2 - cost center 2 - approver 1
2.	Check if the approver is correctly assigned.
3.	Check if the approver can approve all item with one click.</t>
  </si>
  <si>
    <t>I want that only approvers with an activated user account approve Pos</t>
  </si>
  <si>
    <t>1.	Create a PO where an approver without active user account has to approve.
2.	Check if the approver cannot access and approve.</t>
  </si>
  <si>
    <t>I want that the next level of approver applies
in case of no determination of an approver in a lower range of value
I want that the workflow responsible gets notified
In case no approver is determined,</t>
  </si>
  <si>
    <t xml:space="preserve">1.	Create a PO where the value range is not maintained. 
2.	Check if the next approval level applies.
3.	Create a PO where no approver is maintained (e.g. new cost cen-ters)
4.	Check if the workflow responsible gets notified. </t>
  </si>
  <si>
    <t>I want edit POs which are currently in the approval step</t>
  </si>
  <si>
    <t xml:space="preserve">1.	Create a PO and start the approval step. 
2.	The purchaser calls and edits the PO.
3.	During the “PO edit mode” the work item for approval should dis-appear in the approval step.
4.	After editing the PO, the PO is again in the approval step.  </t>
  </si>
  <si>
    <t xml:space="preserve">I want to get the delivery date updated 
if the delivery date is in the past after final approval </t>
  </si>
  <si>
    <t>1.	Create a PO. 
2.	Approve the PO after the delivery date is exceeded
Use case 1: Approval date + supplier standard delivery time is lower or equal to delivery date in PO  no adaption of delivery date necessary
Use case 2: Approval date + supplier standard delivery time &gt; de-livery date in PO  adaption of delivery date to approval date + supplier standard delivery time
3.	Check if the delivery date is updated</t>
  </si>
  <si>
    <t>I want that approval data is prefilled out of the signature databases</t>
  </si>
  <si>
    <t>so that additional maintenance effort is avoided.</t>
  </si>
  <si>
    <t>1.	Signature database data is available in S/4.
2.	Changes in signature database are displayed in S/4 (update frequency tbc)</t>
  </si>
  <si>
    <t>As a requisitioner and  LoA approver,</t>
  </si>
  <si>
    <t>we want get notified on a regular basis,
if a PO is not approved in a specific time frame</t>
  </si>
  <si>
    <t xml:space="preserve">1.     Create a PO with status “in approval”.
2.     Wait until the time frame set is overdue (x days).
3. Check if a LoA approver receivs a reminder notification. </t>
  </si>
  <si>
    <t>we want to be able to add “adhoc” approvers manually in the approval pro-cess,</t>
  </si>
  <si>
    <t>1.	Valid maybe also for PR
2.	Challenge how could a requisitioner do this?
3.	Only user with respective authorizations should available as adhoc approvers</t>
  </si>
  <si>
    <t xml:space="preserve">we want to be able to replace approvers manually in approval process, according to LoA authorizations
a)	If no approvers could be determined a fallback or dummy ap-prover should be chosen
b)	Existing approver is currently not available </t>
  </si>
  <si>
    <r>
      <t>1.</t>
    </r>
    <r>
      <rPr>
        <sz val="7"/>
        <color rgb="FF7030A0"/>
        <rFont val="Times New Roman"/>
        <family val="1"/>
      </rPr>
      <t xml:space="preserve">    </t>
    </r>
    <r>
      <rPr>
        <sz val="11"/>
        <rFont val="Calibri"/>
        <family val="2"/>
        <scheme val="minor"/>
      </rPr>
      <t>Search for a PO.</t>
    </r>
    <r>
      <rPr>
        <sz val="11"/>
        <color theme="1"/>
        <rFont val="Calibri"/>
        <family val="2"/>
        <scheme val="minor"/>
      </rPr>
      <t xml:space="preserve">
2.    Open the PO and replace the existing approver.</t>
    </r>
  </si>
  <si>
    <t>1.	In search result only approvers with same or higher LoA should be displayed
2.	Challenge how could a requisitioner do this?</t>
  </si>
  <si>
    <t>I want to ensure that same LoA approver cannot perform two approvals for one PO</t>
  </si>
  <si>
    <t>1.	Create PO with two LoA approval steps.
2.	Determine one approver for two approval steps.
3.	An error message appears.</t>
  </si>
  <si>
    <t xml:space="preserve">The S of the PO release process step is to prepare the final approved PO for transfer to the supplier. If there is no approval needed, the PO will be released automatically. 
The usage of the correct PO printout format is based on local legal requirements and internal regulations (roll-in activity). 
[Siemens Stationery “Corporate Design Guidelines”, Status December_2020 (S. 49)]
Archiving
A PDF copy of the PO printout after PO release should be stored as an attachment in S/4 for legal purposes.
</t>
  </si>
  <si>
    <t>I want that the language of the PO printout corresponds to the language of supplier master data</t>
  </si>
  <si>
    <t>I want to have copy of the PO printout as soon as it is created</t>
  </si>
  <si>
    <t>I want to rename the PO printout from “Order” to “Order Change”
in case adjustments in the PO are required,</t>
  </si>
  <si>
    <t xml:space="preserve">I want that PO printout form is adjusted per country </t>
  </si>
  <si>
    <t>so that Siemens guidelines and local regulations are fulfilled.</t>
  </si>
  <si>
    <t>The S of the supplier communication process step is to ensure the correct transfer of the PO to the supplier.
The supplier communication data in the PO is automatically prefilled from the supplier master data. This data can be changed manually during the PO creation process by the purchaser, e.g. replacing the prefilled email address or switching the output media from fax to email.</t>
  </si>
  <si>
    <t xml:space="preserve">I want that PO is transferred according to the output media setting in the PO 
(prefilled from supplier master data, editable for purchaser)  </t>
  </si>
  <si>
    <t>1.	Create several POs with different output media settings
-	EDI (Classic EDI, SupplyON, or other future platforms)
-	Email
-	Fax (roll-In activity)
-	No output, if transfer is suppressed by the purchaser
2.	Check if the PO transfer to the supplier worked correctly.</t>
  </si>
  <si>
    <t>I want to be able to decide if automatically initiated PO changes based on PORs (price reduction or change of delivery date) should be sent to sup-plier</t>
  </si>
  <si>
    <t>so that misunderstandings with the supplier for Siemens internal data changes can be avoided.</t>
  </si>
  <si>
    <t>1.	Create the PO.
2.	Create the POR with deviations so that a purchaser is involved.
3.	Check if the purchaser can mark / decide if the PO should be sent to the supplier or not.</t>
  </si>
  <si>
    <t>1.	Create a PO incl. attachments. Mark the PO as “external” for email transfer.
2.	Create a PO incl. attachment. Mark the PO as “external” for EDI transfer.
3.	Check the email sent to the supplier if attachments are included.
4.	Check the EDI message to the supplier if attachments are included.</t>
  </si>
  <si>
    <t>I want to decide (manually) if a PO should be sent to supplier
(invoice already received from the supplier)</t>
  </si>
  <si>
    <t>I want to automatically notify the supplier about outstanding delivery in 
(already expected GR, delivery date exceeded, GR not booked (line item related))</t>
  </si>
  <si>
    <t>so that manual effort is reduced.</t>
  </si>
  <si>
    <t>1.	Create PO with “GR expected” and dunning process activated
2.	Wait until delivery date exceeded
3.	Check if notification / reminder about outstanding delivery for rel-evant items was sent out</t>
  </si>
  <si>
    <t xml:space="preserve">I want to have my contact data displayed in the PO printout and EDI 
</t>
  </si>
  <si>
    <t>The purpose of the POR process step is to ensure that the POR received from the supplier confirms the PO. 
A supplier has to reply to the purchase order and confirm whether the ordered quantity of goods or services can be delivered at the time and for the price requested, as well as that the Siemens terms and conditions apply. 
To identify possible deviations, the received POR will be matched with the corresponding PO. SHERPA workstream logistics will decide on future processing and the technical solution for this step. In general, an SAP internal realization is favored including using EDI.  
Input media
A POR can either be received by fax, post, email or EDI.
1.	PORs received by fax or post will be compared with the PO and processed manually by the purchaser.
2.	PORs received via email (PDF) should be automatically read by a scanning service. The POR should be transferred automatically via EDI and follows the EDI process.
3.	PORs received via email (pdf), which cannot be automatically read by a scanning service, should be sent via email to the allocated purchaser. The purchaser manually compares the POR and PO, and takes care of changes in the PO, if required. 
4.	PORs received via EDI, an automatic POR and PO comparison check should be conducted. 
EDI
The following three use cases for EDI PORs applies:
1.	Use case 1: Deviations beyond defined tolerances
If deviations beyond the defined tolerances are identified within the system, the POR has to be send automatically to the respective purchaser with an overview of the deviations. 
a.	Received POR
The POR received via EDI.
b.	Compares PO and POR 
The system compared the POR and the corresponding PO. Deviations beyond the defined tolerances (roll-in activity) are identified.
c.	Assign PO
The POR will be routed to the work overview of the responsible purchaser. The purchaser opens work item. 
d.	Review deviation
Purchaser manually reviews the deviations. 
e.	Accept / reject POR
Purchaser rejects or accepts deviation after clarification.
f.	Edit PO
If deviations are accepted, the PO has to be edited and if necessary, the PO change should be resent to the supplier.
2.	Use case 2: Deviations within tolerances 
a.	Receive POR
The POR received via EDI.
b.	System compares PO and POR 
The system compared the POR and the corresponding PO. Deviations within the defined tolerances (roll-in activity) are identified.  
c.	Edit and document PO
The received POR needs to be documented automatically in the PO. The PDF should be attached, and the reference number deposited under “order acknowledgement” and PO must be adjusted.
d.	Inform supplier about PO change (optional)
Depending on criteria, the PO change needs to be sent automatically to the supplier according to the initial PO.
3.	Use case 3: No deviations 
a.	System compares PO and POR 
The system compared the POR and the corresponding PO. 
b.	Document PO
The received POR needs to be documented automatically in the PO. The PDF should be attached, and the reference number deposited under “order acknowledgement”.
Outstanding PORs (roll-in activity)
Automatic monitoring of outstanding POR line items via a scheduled system job scanning is required. based on the criteria (POR expected and GR not posted or invoice received) purchasing organization and suppliers (optional).
According to pre-defined criteria, affected purchase orders should be identified and a notification should be sent to the supplier, to the purchaser and / or the requisitioner. Therefore, several levels and reminder notifications should be defined, e.g., x days after purchase order release.</t>
  </si>
  <si>
    <t xml:space="preserve">I want that PORs without deviation are documented in the dedicated field in the PO </t>
  </si>
  <si>
    <t xml:space="preserve">I want to define tolerances 
(lower value and higher value) 
for dedicated data fields 
(e.g. price, delivery date) </t>
  </si>
  <si>
    <t xml:space="preserve">I want in the case that an existing POR which is not processed yet 
becomes invalid,
 when a new and updated POR sent from the supplier arise </t>
  </si>
  <si>
    <t>I want that a POR with a partially confirmation of the PO
only relies to the respective line item 
so that unconfirmed line items stay untouched</t>
  </si>
  <si>
    <t>In the goods receipt / performance receipt step, the business confirms the delivery of goods or services by the supplier.
Variants
For goods / service confirmation two variants apply:
1.   Confirmation via GR posting (based on delivery).
2.   Confirmation via performance receipt (based on invoice). 
Depended on a business decision, inclusive accounting, one or both variants can be used. A decisive reason for a specific variant is the accounting type used in PR / PO by the requisitioner. 
Alternatives to the existing logic are welcome.
Acknowledgement via invoice webcycle
Create performance process (acknowledgement based on invoice as is today).  No requirements (roll-in activity)
Responsibilities 
A GR posting should be performed by the requisitioner, a central goods recipient and incoming goods department, or every user with the respective authorization.
A confirmation of performance receipt should be performed by the receiver of the assigned webcycle.
Process deviations
-	Use case 1: GR post is not correct
In general, if adjustments to the GR posting are required,  a cancellation function should be supported so that a new GR post can be posted.
-	Use case 2: Return delivery 
In case of return delivery, the requisitioner or user with respective authorizations should be able to cancel the GR and post a new GR
-	Use case 3: GR overdue, delivery date exceeded (roll-in activity).
A report function for overdue GRs should be available for the requisitioner (roll-in activity). To avoid undelivered and open POs in the system, a report functionalilty should be available for the requisitioner. 
Communication webcycle
-	Use case 1: Invoice booked; GR missing
In case of an incoming invoice and missing GR, a notification (webcycle) will be sent to the requisitioner or recipient (roll-in activity).
-	Use case 2: Performance receipt via invoice
In case of incoming invoice a notification (webcycle) will be sent to the requisitioner or recipient (roll-in activity).
Archiving
There is no recommendation from SCM to the businesses foreseen regarding archiving of delivery notes (roll-in activity, local legal requirements).
Payment
In preparation of initiating payment transactions, a three-way match needs to be conducted. After confirmation of GR or performance receipt, the document should be compared against PO and INV. 
A support of a 2-way match instead of 3-way match for trusted partners for a defined threshold should be considered (roll-in activity).</t>
  </si>
  <si>
    <t xml:space="preserve">I want to get closed multiple POs via mass update 
(final invoice and /or final delivery flags) </t>
  </si>
  <si>
    <t>so that the open POs in the system can be closed
(fiscal year ending).</t>
  </si>
  <si>
    <t>1.	Provide a list of line item number PO number of e.g. 3 POs, where 
a) PO 1 final invoice and final delivery flag should be set
b) PO 2 final invoice flag to be set
c) PO 3 final delivery flag to be set
2.	User / admins with respective authorization conduct the mass up-date.
3.	Check POs are updated correctly.</t>
  </si>
  <si>
    <t>I want see my “my overdue GRs”, if the delivery date is exceeded and the GR is not posted or the PO is closed.</t>
  </si>
  <si>
    <t>so that delays in GR booking can be minimized.</t>
  </si>
  <si>
    <t xml:space="preserve">1.	Create a PO with GR expected.
2.	The GR not booked or the PO is not closed.
3.	Delivery date is exceeded. 
4.	Check in the report if the specific PO is shown. </t>
  </si>
  <si>
    <t>I want that the final delivery flag is set automatically 
if the PO amount is equal to the amount posted in the GR and invoiced amount</t>
  </si>
  <si>
    <t>so that POs can be closed without manual effort.</t>
  </si>
  <si>
    <t>1.	Create a PO with GR expected.
2.	Book GR for all line items.
3.	Check if the final invoice flag is set.</t>
  </si>
  <si>
    <t>For procurement, the S of the invoice posting step is to ensure the correctness of price and content of delivered services and goods in the invoice. If deviations in the invoice are identified, adjustments may need to be made in the assigned PO. 
All invoices from suppliers are to be sent to the central billing address per company code. The supplier will see the billing address in the PO.
In general, the requisitioner only involves the purchaser if deviations are identified, e.g. price and / or quantity are not within the defined tolerance.
Process deviations
-	Use case 1: Deviation above tolerance
The POs needs to be adapted only if the price stated in the invoice is higher than the defined tolerance. 
-	Use case 2: Deviation within tolerances
Within the tolerance, the PO will be overbooked by accounting.
-	Use case 3: Invoice price below PO price
If the invoice price is lower than the PO price, no adaption of PO needed. The PO will be closed via final invoice flag to avoid further PO commitments.</t>
  </si>
  <si>
    <t>I want that purchaser will be actively notified 
when negative deviations between PO price and invoice price occurs 
(price is higher than a defined tolerance)</t>
  </si>
  <si>
    <t>1.	Create a PO.
2.	Post the invoice with large deviations so that the price is higher than a defined tolerance.
3.	Check if the purchaser receives a pus notification.</t>
  </si>
  <si>
    <t>I want that final invoice flag is set automatically 
if the invoice price is lower than the PO price and the GR price booked</t>
  </si>
  <si>
    <t>so that the PO has the status “closed”.</t>
  </si>
  <si>
    <t>1.	Create a PO. 
2.	Post the invoice with item price &lt; PO item price.
3.	Book the GR or confirm delivery via invoice webcycle.
4.	Check if the final invoice flag is set.</t>
  </si>
  <si>
    <t>As a requisitioner and purchaser,</t>
  </si>
  <si>
    <t>I want to see invoice details including the invoice document</t>
  </si>
  <si>
    <t>so that we have an overview of the complete E2E processing.</t>
  </si>
  <si>
    <t xml:space="preserve">1.	Create a PO. 
2.	Post the invoice.
3.	As a requisitioner check the PO, if you can see follow-on documents and invoice details including attachment. 
4.	As a purchaser check the PO, if you can see follow-on documents and invoice details including attachment. </t>
  </si>
  <si>
    <t>The S of the payment step is to ensure the correctness of invoice payment. 
The invoice will be paid when three criteria are fulfilled. A three-way-match of purchase order, goods receipt and invoice (quantity, price).
If an automated "three-way-match" cannot be conducted, the invoice is released according to the valid signature authorizations (LoA) and the specifications of the responsible accounting of business.</t>
  </si>
  <si>
    <t>I want to be involved in case of deviations of the price (above defined tolerance)</t>
  </si>
  <si>
    <t>so that I can edit or overbook the PO the after clarification of the deviation with the supplier and the requisitioner (optional)</t>
  </si>
  <si>
    <t>1. Create a PO.
2. Create an invoice above defined price tolerance.
3. Check if the purchaser receives a webcycle from accounting.</t>
  </si>
  <si>
    <t>3-way-match: If PO amount is equal to GR posted amount and invoiced amount, a final delivery flag should be set automatically in the system so that the payment run can be initiated.
Overbook the PO: Purchaser accepts the price deviation, the payment run gets initiated.</t>
  </si>
  <si>
    <t xml:space="preserve">I want to be involved if the invoice quantity is higher than the ordered quantity </t>
  </si>
  <si>
    <t>so that I can inform the purchaser for editing the PO.</t>
  </si>
  <si>
    <t>1. Create a PO.
2. Create an invoice with deviations in quantity.
3. Check if the requisitioner receives a webcycle from accounting.H108</t>
  </si>
  <si>
    <t>I want to be informed if the GR / performance receipt is pending
and there are no deviations existing for price and quantity</t>
  </si>
  <si>
    <t>so that I can book the GR / performance receipt and processing can be continued.</t>
  </si>
  <si>
    <t>1. Create a PO.
2. Create an invoice without deviations.
3. Check if the requisitioner receives a webcycle from accounting.</t>
  </si>
  <si>
    <t>I want to be able to see the invoice payment status in the system</t>
  </si>
  <si>
    <t>so that potentially clarifications can be initiated and that I have an over-view about the entire P2P process.</t>
  </si>
  <si>
    <t>1.	Open the PR. 
2.	Check follow-on documents incl. invoice and payment status.</t>
  </si>
  <si>
    <t xml:space="preserve">The purpose of the change process is to allow adjustments to be made after the successful release of the PR. 
In general, no PR changes should be made by the requisitioner after the PO is created, only in case of extensions. </t>
  </si>
  <si>
    <t>I want to update / extend the PR, if required</t>
  </si>
  <si>
    <t>so that I do not have to create a new PR.</t>
  </si>
  <si>
    <t>1.	Create a PR.
2.	Create a PO.
3.	Extend a PR.</t>
  </si>
  <si>
    <t xml:space="preserve">The purpose of the change process is to allow adjustments to be made after the successful release of the PO. 
If a fully approved PO has already been sent to the supplier and the purchaser needs to make changes to the PO (e.g. based on POR or initiated by the requisitioner), a PO change is required.
Updates or changes of existing PO line items can only be made by the purchaser directly in the PO or automatically due to a POR.
Types of changes (supplier based)
1.	Supplier relevant changes 
Changes can be seen in the PO printout. As default, the supplier should be informed about the changes via a new PO printout or EDI message. 
a.	Use case 1: Price increase; ordered services / goods have become more expensive. In general, this occurs on receipt of invoice.
-	If the invoice price is higher than the PO price within a defined tolerance, the PO will be settled (roll-in activity).
-	If the invoice price is higher than the PO price outside a defined tolerance, the PO will need to be adjusted (roll-in activity).
b.	Use case 2: Order extension 
Additional services / goods are required.
New PO line items are added by requisitioner in existing PR. Once the PR has been updated and successfully processed, the purchaser can add the new line items in the relevant PO.
If the PO needs to be extended, the respective PR needs to be adjusted by the requester in S/4. This leads to a PO change. 
Corrections based on POR, e.g. delivery date, price, cancellation, terms and conditions.
2.	Supplier irrelevant changes
a.	Internal notes
b.	Final delivery flag 
c.	Final invoice flag
d.	Accounting elements
e.	POR number in dedicated field
Types of changes (approval based)
1.	Order increase 
a.	Use case 1: New line item
Order increases leading to new line items in PO need to be approved. 
b.	Use case 2: Above defined threshold 
Order increases above a defined value limit must be approved (LoA). Tolerances are defined locally based on local regulations (roll-in activity).
The following activities are performed by the purchaser:
1.	Select PO
The purchaser selects the PO from available PO documents via search functionality.
2.	Edit PO 
The purchaser can add new line items to the PO 
-	based on PR extension 
-	or by editing existing line items 
The purchaser then decides if the PO change should be sent to supplier.
PO changes (POR based)
Alternatively, a PO change can be done automatically in the system without purchaser interaction if the POR has no deviation or deviation within defined tolerances.
Supplier Transfer
In the case that the supplier needs to be informed about the changes, the purchaser should be able to configure the PO output case by case. 
The output medium for PO changes is derived from the initial PO communication.
Mass PO changes 
In same it will be necessary to update more PO Due to fiscal year changes, reorganizations, etc., a possibility for mass changes in the PO’s should be supported. 
Mass changes might become necessary in consequence of master data changes or closure of all open purchasing documents.
Requisitioners, purchasers or controllers will provide lists of relevant POs to be updated. Updates are on item level. </t>
  </si>
  <si>
    <t>As a purchaser / document owner,</t>
  </si>
  <si>
    <t>I want to be the only one to be able to make adjustments directly in the PO
after creating it</t>
  </si>
  <si>
    <t>so that the integrity of the document remains intact.</t>
  </si>
  <si>
    <t>1.	Create a PO. 
2.	Check if other roles can edit the PO.</t>
  </si>
  <si>
    <t>I want POs to be automatically compared and when necessary updated
when there are no deviations or deviations within defined tolerances in the POR</t>
  </si>
  <si>
    <t>so that manual effort can be avoided.</t>
  </si>
  <si>
    <t>1.	Create a PO.
2.	Create a POR without deviations.
3.	Check if the POR is displayed in the PO in the system.
4.	Create PORs with multiple “deviations within tolerances”, e.g. price, delivery date.
5.	Check if the POR is displayed in the PO and if data fields have been updated, e.g. price, delivery date.</t>
  </si>
  <si>
    <t xml:space="preserve">I want the entire history of PO incl. attachments, approvals, PO changes and approvals of PO changes to be displayed </t>
  </si>
  <si>
    <t>so that in case of internal audits everything is easily accessible.</t>
  </si>
  <si>
    <t>1.	Create a PO.
2.	Approve the PO.
3.	Change the PO. 
4.	Approve the PO change.
5.	Check PO history to see if every change and approval is visible.</t>
  </si>
  <si>
    <t xml:space="preserve">I want only defined changes to need approval </t>
  </si>
  <si>
    <t>1.	Create a PO.
2.	Approve a PO.
3.	Change multiple fields in the PO.
4.	Check that workflow is only be started for changes to critical data fields.</t>
  </si>
  <si>
    <t>I want all newly added line items in a PO 
to restart the approval of the entire PO</t>
  </si>
  <si>
    <t>1.	Create a PO.
2.	Approve a PO.
3.	Add a new line item to the PO. 
4.	Check if the PO approval process has been started.</t>
  </si>
  <si>
    <t>I want to have the possibility to update multiple POs 
via a mass update option without approval required</t>
  </si>
  <si>
    <t>so that reorganizations of data can be updated, e.g. ESN, accounting el-ements, G/L accounts.</t>
  </si>
  <si>
    <t>1.	Create multiple Pos.
2.	Provide a list of POs and data fields which should be updated, e.g. PO old ESN  new ESN
PO old G/L account  G/L account 
PO old accounting element  new element 
3.	Execute mass update.
4.	Check if changes are displayed in the POs.</t>
  </si>
  <si>
    <t>automatic decision of Forwarder based on country specific parameters to avoid  additional / higher freight costs</t>
  </si>
  <si>
    <t>1. I want to have a separate field where I can enter the ID
2. I want that entered ID is confirmed from SATO tool
3. I want to be able to search for an ID
4. I want to be notified if defined G/L account inserted and no ID inserted field
5. I want to create an ID from PR in SATO tool</t>
  </si>
  <si>
    <t xml:space="preserve">so that entire process is supported incl. invoice processing  </t>
  </si>
  <si>
    <t xml:space="preserve">1. Create a PR.
2. Enter the relevant G/L account.
3. An error message appears if customer field is empty.
4. Enter a wrong ID.
5. An error message appears.
6. Enter the correct ID.
7. No error message appears.
8. Open search help and search for an ID in SATO tool via PR.
9. Create a new PR.
10. Open search field and push button create ID, fill in a form data, send data to SATO tool and receive a new created ID. </t>
  </si>
  <si>
    <t xml:space="preserve">I want to receive the foreign trade data for catalog items from myMall </t>
  </si>
  <si>
    <t>so that intrastat reporting can be supported for catalog items or other cross border topics</t>
  </si>
  <si>
    <t>Create catalog myMall SC with foreign trade relevant criteriaCheck if for-eign trade data are transferred</t>
  </si>
  <si>
    <t>Sub Process</t>
  </si>
  <si>
    <t>Process Step</t>
  </si>
  <si>
    <t>GF</t>
  </si>
  <si>
    <t>SSS</t>
  </si>
  <si>
    <t>Product</t>
  </si>
  <si>
    <t>Project</t>
  </si>
  <si>
    <t>SW</t>
  </si>
  <si>
    <t>Generic Requirements</t>
  </si>
  <si>
    <t>P2RIND1</t>
  </si>
  <si>
    <t>Supplier Integration</t>
  </si>
  <si>
    <t>Process PO, PO Changes to supplier</t>
  </si>
  <si>
    <t>Siemens employee</t>
  </si>
  <si>
    <t>to send an outgoing (purchase) order or Purchase Order Change to the supplier in automated and digital manner</t>
  </si>
  <si>
    <t>Please refer to the prerequisites / details laid out related to the process steps "Purchase Order Release" and "Purchase Order Transfer"</t>
  </si>
  <si>
    <t>it is provided to the supplier with all the required data the supplier needs to process the PO or PO Changes.</t>
  </si>
  <si>
    <t>ok</t>
  </si>
  <si>
    <t>P2RIND2</t>
  </si>
  <si>
    <t>Process POR, Delivery Notes to Siemens</t>
  </si>
  <si>
    <t>Supplier</t>
  </si>
  <si>
    <t>to send Purchase Order Receipts (POR) or delivery notes in automated and digital manner</t>
  </si>
  <si>
    <t>Please refer to the prerequisites / details laid out related to the process steps "Purchse Order Receipt Verification" and "Goods Receipt Posting"</t>
  </si>
  <si>
    <t>it is provided to Siemens with all required data Siemens needs to process the POR and Goods Receipt.</t>
  </si>
  <si>
    <t>Prerequisites/ Details to be considered</t>
  </si>
  <si>
    <t>P2RIND3</t>
  </si>
  <si>
    <t>Purchase Order Release</t>
  </si>
  <si>
    <t>The Scope of the PO release process step is to prepare the final approved PO for transfer to the supplier. If there is no approval needed, the PO will be released automatically. The usage of the correct PO printout format is based on local legal requirements and internal regulations (roll-in activity). 
[Siemens Stationery “Corporate Design Guidelines”, Status December_2020 (S. 49)]
Archiving
A PDF copy of the PO printout after PO release should be stored as an attachment in S/4 for legal purposes.</t>
  </si>
  <si>
    <t>P2RIND4</t>
  </si>
  <si>
    <t>I want that the language of the PO printout corresponds to the language of supplier master data - in case country related language is not legally in used to be send out to suppliers, default language need to be considered (e.g. English)</t>
  </si>
  <si>
    <t>Needs to be addressed during localization workshops prior to SHERPA X onboarding of AREs</t>
  </si>
  <si>
    <t>if the language can in any case not correspond - then English</t>
  </si>
  <si>
    <t xml:space="preserve">Does supplier master data reflect local legal requirement? There should a check with Legal in all countries on local language requirement by law. SW currently has EN, DE and Kanji in PO printout in 3 systems. Our Legal in APAC said China mainland and Taiwan doesn't legally require Chinese translation in POs but translation helps during lawsuits and arbitration. </t>
  </si>
  <si>
    <t>P2RIND5</t>
  </si>
  <si>
    <t>I want to have copy of the PO printout as soon as it is created (PO or PO Change)</t>
  </si>
  <si>
    <t>P2RIND6</t>
  </si>
  <si>
    <t>I want to rename the PO printout from “Order” to “Order Change” in case adjustments in the PO are required</t>
  </si>
  <si>
    <t>P2RIND7</t>
  </si>
  <si>
    <t xml:space="preserve">Same as row 8, what could be local regulation for our PO printout form? </t>
  </si>
  <si>
    <t>P2RIND8</t>
  </si>
  <si>
    <t>Purchase Order Transfer (to the supplier)</t>
  </si>
  <si>
    <t>The Scope of the supplier communication process step is to ensure the correct transfer of the PO to the supplier. The supplier communication data in the PO is automatically prefilled from the supplier master data. This data can be changed manually during the PO creation process by the purchaser, e.g. replacing the prefilled email address or switching the output media from fax to email.</t>
  </si>
  <si>
    <t>P2RIND9</t>
  </si>
  <si>
    <t xml:space="preserve">I want that PO is transferred according to the output media setting in the PO (prefilled from supplier master data, editable for purchaser)  </t>
  </si>
  <si>
    <t>P2RIND10</t>
  </si>
  <si>
    <t>so that the supplier receives only a “PO Change” document if changed data fields are relevant for them.</t>
  </si>
  <si>
    <t>P2RIND11</t>
  </si>
  <si>
    <t>I want to be able to decide if automatically initiated PO changes based on PORs (price reduction or change of delivery date) should be sent to supplier</t>
  </si>
  <si>
    <t>P2RIND12</t>
  </si>
  <si>
    <t>P2RIND13</t>
  </si>
  <si>
    <t>P2RIND14</t>
  </si>
  <si>
    <t xml:space="preserve">I want to have my contact data displayed in the PO printout and EDI </t>
  </si>
  <si>
    <t>P2RIND15</t>
  </si>
  <si>
    <t>Purchase Order Receipt  Verification</t>
  </si>
  <si>
    <t>Post means that a booking is initiated - not in the sense of a letter</t>
  </si>
  <si>
    <t>P2RIND16</t>
  </si>
  <si>
    <t>Use case 1: Deviations beyond defined tolerances - I want to receive PORs with deviations beyond tolerances in my work overview. These are automatically identified by the system by comparing EDI POR with the PO</t>
  </si>
  <si>
    <t>P2RIND17</t>
  </si>
  <si>
    <t>Use case 2: Deviations within tolerances - I want to receive PORs with deviations within tolerances in my work overview. These are automatically identified by the system by comparing EDI POR with the PO</t>
  </si>
  <si>
    <t>P2RIND18</t>
  </si>
  <si>
    <t xml:space="preserve">Use case 3: No deviations - I want that PORs without deviation are documented in the dedicated field in the PO </t>
  </si>
  <si>
    <t>P2RIND19</t>
  </si>
  <si>
    <t xml:space="preserve">Tolerances for EDI PORs deviations - I want to define tolerances (lower value and higher value) for dedicated data fields (e.g. price, delivery date) </t>
  </si>
  <si>
    <t>P2RIND20</t>
  </si>
  <si>
    <t>P2RIND21</t>
  </si>
  <si>
    <t>P2RIND22</t>
  </si>
  <si>
    <t>Goods Receipt Posting</t>
  </si>
  <si>
    <t>Fine to add SW comment in requirement</t>
  </si>
  <si>
    <t>For service, 2-way match should be allowed, e.g. Requsitioner confirms service/performamce completed/receipt.</t>
  </si>
  <si>
    <t>P2RIND23</t>
  </si>
  <si>
    <t>P2RIND24</t>
  </si>
  <si>
    <t>P2RIND25</t>
  </si>
  <si>
    <t>I want that the final delivery flag is set automatically if the PO amount is equal to the amount posted in the GR and invoiced amount</t>
  </si>
  <si>
    <t>P2RIND26</t>
  </si>
  <si>
    <t>I want to automatically notify the supplier about outstanding delivery in (already expected GR, delivery date exceeded, GR not booked (line item related))</t>
  </si>
  <si>
    <t>P2RIND27</t>
  </si>
  <si>
    <t>General - Filtering and Sorting</t>
  </si>
  <si>
    <t>Siemens Person</t>
  </si>
  <si>
    <t>...be able to display multiple external suppliers per country/ region/ organization/ internal attributes such as supplier segmentation</t>
  </si>
  <si>
    <t>to provide insights across supplier base by flexibly filtering and sorting to achieve a holisitic view</t>
  </si>
  <si>
    <t>GF input</t>
  </si>
  <si>
    <t>P2RIND28</t>
  </si>
  <si>
    <t>General - Supplier access (rights management)</t>
  </si>
  <si>
    <t>Siemens Buyer</t>
  </si>
  <si>
    <t xml:space="preserve">be able to select which information should be visible for the supplier (e.g. access rights depending on domain expert tool rights) </t>
  </si>
  <si>
    <t>we have flexibility to decide level of transparency</t>
  </si>
  <si>
    <t>BT Project Input (T. Reschke)
Necessity of user story depending on data that should be shared</t>
  </si>
  <si>
    <t>K – Cost Center
A - Asset
P – Project</t>
  </si>
  <si>
    <t>Header
Start and End Date</t>
  </si>
  <si>
    <t>Item
Start and End Date</t>
  </si>
  <si>
    <t>K – Cost Center
P - Project
A - Asset</t>
  </si>
  <si>
    <t>Please add Yes, if the field is Mandatory for the SHERPAX and we can't disable it. Else No.</t>
  </si>
  <si>
    <r>
      <t xml:space="preserve">What is R4B and how it is managed currently ?
</t>
    </r>
    <r>
      <rPr>
        <sz val="11"/>
        <color rgb="FF00B050"/>
        <rFont val="Calibri"/>
        <family val="2"/>
        <scheme val="minor"/>
      </rPr>
      <t>R4B is Ready for Business</t>
    </r>
    <r>
      <rPr>
        <sz val="11"/>
        <color theme="1"/>
        <rFont val="Calibri"/>
        <family val="2"/>
        <scheme val="minor"/>
      </rPr>
      <t xml:space="preserve">
The control should come from the MDG. The system will raise messages based on the Supplier/BP status</t>
    </r>
  </si>
  <si>
    <t>Yes, but question about translation. Example: PO 4500003193, YINT-Before End of the month Due net (SUPL) -&gt; in PO form "bis zum Ende des Monats ohne Abzug"</t>
  </si>
  <si>
    <t>Yes, question about translation. Example: PO 4500003193, YINT-Before End of the month Due net (SUPL) -&gt; in PO form "bis zum Ende des Monats ohne Abzug"</t>
  </si>
  <si>
    <t>Yes, but it is date of Document EKKO - BEDAT. This date could be modified by users</t>
  </si>
  <si>
    <t>Possible insert in Text as variant</t>
  </si>
  <si>
    <t>Yes, but Person is "Created By" if empty then Purchasing Group name</t>
  </si>
  <si>
    <t xml:space="preserve">Need to check </t>
  </si>
  <si>
    <t>No, check with BT Products</t>
  </si>
  <si>
    <t>Yes, PO type visiable in PO</t>
  </si>
  <si>
    <t>Check with BT Products</t>
  </si>
  <si>
    <t xml:space="preserve">SRE checking </t>
  </si>
  <si>
    <t>Not clear</t>
  </si>
  <si>
    <t>Accenture Team Comments In PO (Y-N)</t>
  </si>
  <si>
    <t>Accenture Team Comments In PO form (Y-N)</t>
  </si>
  <si>
    <t>Check after BT Products</t>
  </si>
  <si>
    <t>Note</t>
  </si>
  <si>
    <r>
      <rPr>
        <b/>
        <sz val="11"/>
        <color rgb="FFC00000"/>
        <rFont val="Calibri"/>
        <family val="2"/>
        <scheme val="minor"/>
      </rPr>
      <t>Status/Item</t>
    </r>
    <r>
      <rPr>
        <sz val="11"/>
        <color theme="1"/>
        <rFont val="Calibri"/>
        <family val="2"/>
        <scheme val="minor"/>
      </rPr>
      <t xml:space="preserve">:
Standard Status field is available
</t>
    </r>
    <r>
      <rPr>
        <b/>
        <sz val="11"/>
        <color rgb="FFC00000"/>
        <rFont val="Calibri"/>
        <family val="2"/>
        <scheme val="minor"/>
      </rPr>
      <t>Responsible</t>
    </r>
    <r>
      <rPr>
        <sz val="11"/>
        <color theme="1"/>
        <rFont val="Calibri"/>
        <family val="2"/>
        <scheme val="minor"/>
      </rPr>
      <t>:
Purchasing Group/Item</t>
    </r>
  </si>
  <si>
    <t>Change of Pgroup is possible in SAP Standard
Fiori app: Redistribute Workload</t>
  </si>
  <si>
    <t xml:space="preserve">Goods Recipient: EBKN-WEMPF
For Multi-Account Assignments, multi-recipients will be available.
Requisitioner: EBAN-AFNAM
it is per PR line item
</t>
  </si>
  <si>
    <t>From the Authorization point of view, the user could create PRs in many Company codes
2 Fields are Mandatory for that:
- Purchasing Group 
- Plant --&gt; Company Code
What are the CoCode/Plants which will be in scope for the direct procurment from Germany ?
 - 426Q and the following 15 CoCodes</t>
  </si>
  <si>
    <t>Open</t>
  </si>
  <si>
    <t>FIT</t>
  </si>
  <si>
    <t>FIT Customizing</t>
  </si>
  <si>
    <t>GAP</t>
  </si>
  <si>
    <t>GAP Customizing</t>
  </si>
  <si>
    <t>N/A</t>
  </si>
  <si>
    <t>Expert: Is someone checking the PR data and make
PR item:  flexible WF has a review step + team and responsibility Management</t>
  </si>
  <si>
    <t>While converting PR to PO, fileds could be changed. Default values will be taken from PR.</t>
  </si>
  <si>
    <t>Payment terms will not be inserted in the PR.
Default value from Supplier master could be changed.</t>
  </si>
  <si>
    <t>Do you mean a report for the PRs which have not been converted to POs ?
If yes, Standard Reports are availbale. "F1048A - Process Purchase Requisitions"</t>
  </si>
  <si>
    <t>Flexible WF: Notification will be sent by defualt in "My Inbox" Fiori App.
Email option is also available.</t>
  </si>
  <si>
    <t>Standard SAP behaviour.
PO is approved on Header Level.</t>
  </si>
  <si>
    <t>Asset Account Assignment is not an option in the Flexible WF starting Condition.
Price Threshold could be defined in the Flexible WF starting Condition.</t>
  </si>
  <si>
    <t>Account Assignment could be chnaged during the approval process.</t>
  </si>
  <si>
    <t>Delivery Date checking required opening the PO to check the messages.
Approver could share any information from "My Inbox" app with the requisitioner.</t>
  </si>
  <si>
    <t>NB:
(1) New --&gt; Purchase Order
(2) Change --&gt; Change To
FO:
(1) New --&gt; Framework Order
(2) Change --&gt; Change To</t>
  </si>
  <si>
    <t xml:space="preserve">It will be based on the Printout Condition Records
Printout Condition type: "Y005"
</t>
  </si>
  <si>
    <t>Requisitioner field is a free text --&gt; From where should we got the contact email.</t>
  </si>
  <si>
    <t>16.10-MAS: Purchasing Organization will be cross company code Porg (In Germany) + the Requisitioner should have the required Authorization to create PRs for many company codes (use Account Assignment). 
The POrg will be assigned to the Plants related to the germany company codes. 
No need to create a new Plant for Direct SRE. Plant "C300" will be use.
No need to create new Company Code for Direct SRE. CoCode "3003" will be use.
15.10-MAS: Purchasing Organization will be created for SRE Direct Procurement</t>
  </si>
  <si>
    <t>The user is not able to choose the Approvers of the PO in the PR creation Step
PO Approver Determination will be based PO parameters (Doc Type, Company Code, POrg, PO Value)</t>
  </si>
  <si>
    <t>Requirements</t>
  </si>
  <si>
    <t>Fit to SHERPA X Standard</t>
  </si>
  <si>
    <t>Fit to existing SHERPA X standard, but minor customizing effort to set up basic settings for a new company code</t>
  </si>
  <si>
    <t>Customizing needed to fulfill requirement</t>
  </si>
  <si>
    <t>Development needed to fulfill new requirement. Approved Decision request from GF Transformation Management required</t>
  </si>
  <si>
    <t>Progress</t>
  </si>
  <si>
    <t>GUI/Fiori reports could be used.
Notifications to be checked</t>
  </si>
  <si>
    <t>Value Levels: This will be based on SAT interface
Approval Steps: Functional and Commercial both should be approved
Workflow Admin should monitor the WF steps and redirect the WF-Steps without an approver assigned</t>
  </si>
  <si>
    <t>Flexible WF: Deadline config
Will appear in "My Inbox" and "Manage Purchase Order" apps</t>
  </si>
  <si>
    <t>Duplicate with the above</t>
  </si>
  <si>
    <t>Currently available</t>
  </si>
  <si>
    <t>Tax determination will be followed based on the Finance configuration</t>
  </si>
  <si>
    <t>Withholding tax will be followed based on the Finance configuration</t>
  </si>
  <si>
    <t>VAT ID determination will be based on the Business Partner and will be printed in the PO printout</t>
  </si>
  <si>
    <t>What are the required fields, Based on the SAP Standard
1- Material or Short Text are mandatory
2- Accounting Data are mandatory
3- Purchasing Org is not mandatory
4- Plant, Pgroup, Material Group are mandatory
5- Supplier nuber is not mandatory
If the PGroups are defined per Buyer, then the requisitioner will assign each item to a buyer ?</t>
  </si>
  <si>
    <t>Depending on Controlling team, if there is a budget check on the Cost Center or WBS.
Is the requiremen for a PR check through an approval process ?</t>
  </si>
  <si>
    <t>To Marcus/Ajit: Who should we ask in SHERPAX Team, about the local requirement ?
Standard Reports to check for the PRs without POS "F1048A - Process Purchase Requisitions"</t>
  </si>
  <si>
    <t>18.10-MAS: Budget Control pre-requeste (Config and Master Data) should be checked on the Cost Center and WBS</t>
  </si>
  <si>
    <t>18.10-MAS: Default PGroup should be defined per each SAP User (from his defualt value settings or User Parameters)
16.10-MAS: There are many Account Assignments in T4Q system are we going to use them ?
Check if the GR and Valuated GR checkbox are in User Parameters.
Compination between the new Account Assignemnt and Item Category should be Checked --&gt; Harish
Could the default address be changed from the Plant to the Requisitioner ?
14.10-MAS: VIM Topics: Mari Kraus  --&gt; mari.kraus@siemens.com
08.10-MAS: Gergana will arrange a meeting with the VIM Team</t>
  </si>
  <si>
    <t>18.10-MAS: Functional Pgroup will be assigned in the PR. SAP will only check on the completion of the PR based on the Mandatory Fields.</t>
  </si>
  <si>
    <t xml:space="preserve">Item Level and are not a mandatory fields
Requisitioner --&gt; EBAN-AFNAM --&gt; Item
Recipient --&gt; EBKN-WEMPF --&gt; Account Assignment
The Recipient (Invoice Receiver) will be printed on the item level.
If we have many Item with Different Recipient --&gt; Each line item will have a separate printed Recipient
If the user GID has been enterred correctly and the user has an SAP User ID, then his User Name will appear in the print out
</t>
  </si>
  <si>
    <t xml:space="preserve">PR Creator --&gt; Automatically Assigned
Requisitioner --&gt; Line Item --&gt; Free Text and not assigned the User GID
Recipent --&gt; Line Item/Account Assignment --&gt; Free Text and not assigned the User GID 
</t>
  </si>
  <si>
    <t>18.10-MAS: no need for purchase requisition approval process for SRE</t>
  </si>
  <si>
    <t>18.10-MAS: Service Confirmation will be manage by VIM</t>
  </si>
  <si>
    <t xml:space="preserve">Service Confirmation --&gt; Service Entry Sheet --&gt; No need
GR checkbox should be unchecked per line item. </t>
  </si>
  <si>
    <t>Standard SAP Reports or Fiori Apps.
Standard SAP Report "ME5A" could be handelled via a Background job to run automatically.</t>
  </si>
  <si>
    <t>Pre-defined Text: The correct email address will be determined based on
Company Code
Purchasing Org
Purchasing Group
Order Type
Correction is a configuration task, PO header texts could be use to print additional information.</t>
  </si>
  <si>
    <t>Purchaser could manage the output message per each PO.
Automatically message condition will be determined based on the created condition record.
The purchaser could change the determined printing condition or add a new one.
The purchased controlls, if the output message will be sent to the supplier after saving the PO or not</t>
  </si>
  <si>
    <t>Purchaser could manage the output message per each PO.</t>
  </si>
  <si>
    <t>PO header text could be used for additional data</t>
  </si>
  <si>
    <t>Standard Reprots (GUI and Fiori) are available to monitor the statues for PRs and POs</t>
  </si>
  <si>
    <t>Tolerances:
Price --&gt; No tolerance
Delivery date --&gt; under confirmation key
Quantity --&gt; Require Purchasing Info Record
PO creator could receive notification in his "Myinbox" app to approve the vendor data</t>
  </si>
  <si>
    <t>Automatically Approved.
Vendor Confirmation Reports could be used.</t>
  </si>
  <si>
    <t>there is a special tab for venor confirmation</t>
  </si>
  <si>
    <t>Current System: any change of the price will be consider as a change beyon the tolerance.
Delivery Data: is a configuration activity.
Current Confirmation Keys:
Y002 "GR without Inbound Delivery"
Y003 "Indirect Confirmation"</t>
  </si>
  <si>
    <t xml:space="preserve">This step is not required for Rel. 1410 ARE426q, however question to Sherpa X Team: Can the PR Expert Approver Step (optional) be customized based on local requirements eg. For other global Roll-outs?
21.10. G.P: it should be possible to customize this functionality on CoCo-levele </t>
  </si>
  <si>
    <t>G.P.: Create contact to Sven Stöber and IT Team</t>
  </si>
  <si>
    <t>Flexible WF: you could forward it as an email or add a new optional step for Expert Review.</t>
  </si>
  <si>
    <t>Flexible WF: Notification will be sent by defualt in "My Inbox" Fiori App after creating the Purchase Order.
Email option is also available.</t>
  </si>
  <si>
    <t>Change the PO fields is available by accessing the Purchase Order Change transaction and if the change will affect the Total PO price the workflow will be retriggerred.
Send back for review is not available in the Flexible WF.</t>
  </si>
  <si>
    <t>Marcus: xBT Data Management team is driving connection between S/4 and SDC under the Data Governance Framework.</t>
  </si>
  <si>
    <t>Medium</t>
  </si>
  <si>
    <t>High</t>
  </si>
  <si>
    <t>The approver selection will be based on the information which have been copied from the PR, and if the Purchaser changed it.
Purchasing Organization
Purchasing Group</t>
  </si>
  <si>
    <t>Available in "My Inbox" Fiori app.
Authorization for the substitute is required.</t>
  </si>
  <si>
    <t>SHERPAX template follow the same. Predefined texts should include the vendor language.
The Vendor Language in the PO will be the main driver, and it will be defualted from the vendor master.</t>
  </si>
  <si>
    <t>All print out will be saved and attached to the PO.</t>
  </si>
  <si>
    <t>What does the PG mean ? --&gt; Purchasing Group
Defualt Values (2 Options)
1- User Parameters --&gt; GUI
2- Defualt Values --&gt; Fiori Apps
(F1995 - Default Settings for Users) --&gt; per user and doesn't include the GR checkbox
GR and Inovice Receipt are controlled based on the Account Assignment and Item Category.
Delivery Address will be by default copied from the Item line "PLant" and could be changed
Service Confirmation --&gt; is it active now in VIM ? Invoice Receiver in PR should confirm the Service
Confirmation could be easly maintained via Service Entry Sheet</t>
  </si>
  <si>
    <t>Available in SHERPAX, Change the rejected PO and then the Flexible WF will be retriggered.</t>
  </si>
  <si>
    <t>PO could be changed in approval process, only Total price could restart the workflow
Standard fields which could be added:
Header level attributes:
Company Code
Purchasing Group
Purchasing Organization
Total Net Order Value --&gt; already selected
Incoterms
Currency
Item level attributes:
Material Group
Outline Agreement
Plant</t>
  </si>
  <si>
    <t>PO Approvers will be determined automatically in the background.
Cost Center is not in the Responsibility Definition.
PO value will controlle the Flexible WF or SAT</t>
  </si>
  <si>
    <t xml:space="preserve">
Substitute option could be perfomred per each approver
BP is required per each approver</t>
  </si>
  <si>
    <t>Controlled by approver determination logic + Teams Fucntion/Role
If SAT is added, then additional logic should be added to do this check</t>
  </si>
  <si>
    <t>Currently setting for NB and FO --&gt; Flexible WF will be restarted for Total Net Value change
Standard fields which could be added:
Header level attributes:
Company Code
Purchasing Group
Purchasing Organization
Total Net Order Value --&gt; already selected
Incoterms
Currency
Item level attributes:
Material Group
Outline Agreement
Plant</t>
  </si>
  <si>
    <t>PR item:  flexible WF has a rework request + Agent determination by BAdI for PR creator/requisitioner
or
SAP BTP will be used --&lt; to be Analysed</t>
  </si>
  <si>
    <t>F2593 - Mass Changes to Purchase Orders
Authorization to be requested to buyers - Currently available only for "Emergency Access (IT)"</t>
  </si>
  <si>
    <t>Is possible, If the changed field is not subject of Workflow reset.
F2593 - Mass Changes to Purchase Orders
Authorization to be requested to buyers - Currently available only for "Emergency Access (IT)"</t>
  </si>
  <si>
    <t>VIM -- consulidated topic for VIM meeting
Tolerance will be configured in SAP.</t>
  </si>
  <si>
    <t>Requisitioner filed is a free text filed and could be changed.
To have more control on this field additional logic should be performed. 
Initialy the Requisitioner should be the PR creator, but could be changed
Requisitioner is on item level and the first line item will be the main requisitioner for the whole PR --&gt; a logic to check the active user</t>
  </si>
  <si>
    <t>… want to route the PO to the required PO approvals based on the choice provided by the Requisitioner in the PR  creation step.</t>
  </si>
  <si>
    <t>The PR could be assigned to a Purchasing Group (GBS), but for the rerouting of the PR, are they changing the Purchasing Group ?
What is the creitera to assign Purchasinhg Group to the PR ?</t>
  </si>
  <si>
    <t>Notification is available for if we activate the PR Flexible WF and using "My Purchase Requisitions"
Note: Requisitioner/Creator should be a BP if "My Purchase Requisition" will be active.</t>
  </si>
  <si>
    <t>Changes will not be through "My Inbox" app.
If the approver has access the Purchase Order Change transaction authorization, then he could perform the changes.</t>
  </si>
  <si>
    <t>Not available for the Procureemnt Process in SHERPAX but could be activated</t>
  </si>
  <si>
    <t>Binding PO --&gt; without specific Service in the line item, but only limit.
What if the PO has many line item, one with limit and the other with Service. --&gt; not a case
Printout Form Titel is based on the Document type.</t>
  </si>
  <si>
    <t xml:space="preserve">Text changes are based on
Company Code
Purchasing Org
Purchasing Group
Order Type
</t>
  </si>
  <si>
    <t>Requirement ID</t>
  </si>
  <si>
    <t>R-2.1.1</t>
  </si>
  <si>
    <t>R-2.1.2</t>
  </si>
  <si>
    <t>R-2.1.3</t>
  </si>
  <si>
    <t>R-2.1.4</t>
  </si>
  <si>
    <t>R-2.1.5</t>
  </si>
  <si>
    <t>R-2.1.6</t>
  </si>
  <si>
    <t>R-2.1.7</t>
  </si>
  <si>
    <t>R-2.1.8</t>
  </si>
  <si>
    <t>R-2.1.9</t>
  </si>
  <si>
    <t>R-2.1.10</t>
  </si>
  <si>
    <t>R-2.1.11</t>
  </si>
  <si>
    <t>R-2.1.12</t>
  </si>
  <si>
    <t>R-2.2.1</t>
  </si>
  <si>
    <t>R-2.2.2</t>
  </si>
  <si>
    <t>R-2.2.3</t>
  </si>
  <si>
    <t>R-2.2.4</t>
  </si>
  <si>
    <t>R-2.2.5</t>
  </si>
  <si>
    <t>R-2.2.6</t>
  </si>
  <si>
    <t>R-2.2.7</t>
  </si>
  <si>
    <t>R-2.2.8</t>
  </si>
  <si>
    <t>R-2.2.9</t>
  </si>
  <si>
    <t>R-2.2.10</t>
  </si>
  <si>
    <t>R-2.2.11</t>
  </si>
  <si>
    <t>R-2.2.12</t>
  </si>
  <si>
    <t>R-3.1.1</t>
  </si>
  <si>
    <t>R-3.1.2</t>
  </si>
  <si>
    <t>R-3.1.3</t>
  </si>
  <si>
    <t>R-3.1.4</t>
  </si>
  <si>
    <t>R-3.1.5</t>
  </si>
  <si>
    <t>R-3.1.6</t>
  </si>
  <si>
    <t>R-3.1.7</t>
  </si>
  <si>
    <t>R-3.1.8</t>
  </si>
  <si>
    <t>R-3.1.9</t>
  </si>
  <si>
    <t>R-3.1.10</t>
  </si>
  <si>
    <t>R-3.1.11</t>
  </si>
  <si>
    <t>R-3.1.12</t>
  </si>
  <si>
    <t>R-3.2.1</t>
  </si>
  <si>
    <t>R-3.2.2</t>
  </si>
  <si>
    <t>R-3.2.3</t>
  </si>
  <si>
    <t>R-3.2.4</t>
  </si>
  <si>
    <t>R-3.2.5</t>
  </si>
  <si>
    <t>R-3.2.6</t>
  </si>
  <si>
    <t>R-3.2.7</t>
  </si>
  <si>
    <t>R-3.2.8</t>
  </si>
  <si>
    <t>R-3.2.9</t>
  </si>
  <si>
    <t>R-3.2.10</t>
  </si>
  <si>
    <t>R-3.2.11</t>
  </si>
  <si>
    <t>R-3.2.12</t>
  </si>
  <si>
    <t>R-3.2.13</t>
  </si>
  <si>
    <t>R-3.2.14</t>
  </si>
  <si>
    <t>R-3.2.15</t>
  </si>
  <si>
    <t>R-3.2.16</t>
  </si>
  <si>
    <t>R-3.2.17</t>
  </si>
  <si>
    <t>R-3.2.18</t>
  </si>
  <si>
    <t>R-3.2.19</t>
  </si>
  <si>
    <t>R-3.2.20</t>
  </si>
  <si>
    <t>R-3.2.21</t>
  </si>
  <si>
    <t>R-3.2.22</t>
  </si>
  <si>
    <t>R-3.2.23</t>
  </si>
  <si>
    <t>R-3.2.24</t>
  </si>
  <si>
    <t>R-3.2.25</t>
  </si>
  <si>
    <t>R-3.2.26</t>
  </si>
  <si>
    <t>R-3.2.27</t>
  </si>
  <si>
    <t>R-3.2.28</t>
  </si>
  <si>
    <t>R-3.2.29</t>
  </si>
  <si>
    <t>R-3.2.30</t>
  </si>
  <si>
    <t>R-3.2.31</t>
  </si>
  <si>
    <t>R-3.2.32</t>
  </si>
  <si>
    <t>R-3.2.33</t>
  </si>
  <si>
    <t>R-3.3.1</t>
  </si>
  <si>
    <t>R-3.3.2</t>
  </si>
  <si>
    <t>R-3.3.3</t>
  </si>
  <si>
    <t>R-3.3.4</t>
  </si>
  <si>
    <t>R-3.3.5</t>
  </si>
  <si>
    <t>R-3.3.6</t>
  </si>
  <si>
    <t>R-3.3.7</t>
  </si>
  <si>
    <t>R-3.3.8</t>
  </si>
  <si>
    <t>R-3.3.9</t>
  </si>
  <si>
    <t>R-3.3.10</t>
  </si>
  <si>
    <t>R-3.3.11</t>
  </si>
  <si>
    <t>R-4.1.1</t>
  </si>
  <si>
    <t>R-4.1.2</t>
  </si>
  <si>
    <t>R-4.1.3</t>
  </si>
  <si>
    <t>R-4.1.4</t>
  </si>
  <si>
    <t>R-4.1.5</t>
  </si>
  <si>
    <t>R-4.1.6</t>
  </si>
  <si>
    <t>R-4.1.7</t>
  </si>
  <si>
    <t>R-4.2.1</t>
  </si>
  <si>
    <t xml:space="preserve">Is this a current functionality ? If, yes. How do you manage it ?
Changes will be on assigned messages to the PO and the change will be manually per each PO.
</t>
  </si>
  <si>
    <t>Interface should be used with the Flexible WF to get the Authorized person for approval based on the PO Value Limit.
SAT is based on 10 levels and
Company Code
Cost Center
Profit Center
Approval level
Role (Functional and Commercial)
Current interface logic for Buzias has been build with 2 levels
Below 50K and Above 50K
If the flexible WF will be only 2 levels approval (Functional and Commercial) with 50K thr</t>
  </si>
  <si>
    <t>In Flexible WF, it will be defined by the SAP User ID and if the approver has and SAP ID then he/she is active.
Additional checks on User profile (if he didn't access SAP for a long time or he is not a Siemens Employee) then it will be a gap.</t>
  </si>
  <si>
    <t>Low</t>
  </si>
  <si>
    <r>
      <t xml:space="preserve">G.P: : to provide contact 
</t>
    </r>
    <r>
      <rPr>
        <sz val="11"/>
        <color theme="1"/>
        <rFont val="Calibri"/>
        <family val="2"/>
        <scheme val="minor"/>
      </rPr>
      <t>28.10-MAS: email from Markus G. "it is possible to transfer data up to 500MB. But the recommended size should not be more than 50MB".</t>
    </r>
  </si>
  <si>
    <r>
      <t xml:space="preserve">TBD Asset creation process for ARE426Q
</t>
    </r>
    <r>
      <rPr>
        <sz val="11"/>
        <color theme="1"/>
        <rFont val="Calibri"/>
        <family val="2"/>
        <scheme val="minor"/>
      </rPr>
      <t>to be checked with dimitrios.chortikoglou@siemens.com</t>
    </r>
    <r>
      <rPr>
        <sz val="11"/>
        <color rgb="FFFF0000"/>
        <rFont val="Calibri"/>
        <family val="2"/>
        <scheme val="minor"/>
      </rPr>
      <t xml:space="preserve">
G.P.: Fixed asset process is not required for ARE 426Q. Catalogue items should be ordered through Punch out process</t>
    </r>
  </si>
  <si>
    <r>
      <t xml:space="preserve">TBD Asset creation process for ARE426Q
</t>
    </r>
    <r>
      <rPr>
        <sz val="11"/>
        <color theme="1"/>
        <rFont val="Calibri"/>
        <family val="2"/>
        <scheme val="minor"/>
      </rPr>
      <t xml:space="preserve">to be checked with dimitrios.chortikoglou@siemens.com
</t>
    </r>
    <r>
      <rPr>
        <sz val="11"/>
        <color rgb="FFFF0000"/>
        <rFont val="Calibri"/>
        <family val="2"/>
        <scheme val="minor"/>
      </rPr>
      <t>G.P.: Fixed asset process is not required for ARE 426Q. Catalogue items should be ordered through Punch out process</t>
    </r>
  </si>
  <si>
    <t>28.10-MAS: changes will be on Buzias approval enhancement</t>
  </si>
  <si>
    <t>28.10-MAS: for the Approver is required but for requisitioner is a nice to have.
SRE will use the standard template without changes.</t>
  </si>
  <si>
    <t>Flexible WF: approvers are automatically determined without any additional approvers added
Substitution or Forward options could be used
Not Standard in SAP to have an adhoc approving step</t>
  </si>
  <si>
    <t>28.10-MAS: Team and Responsibility management will be used to limit the approvers based on their responsibility and it will work in the backgroung.
Cost Center and WBS are not in the standard Responsibility definition.</t>
  </si>
  <si>
    <t>28.10-MAS: It should be in header and replace the contact person. In addition other information should be added (email + Telephone number) from the User Profile</t>
  </si>
  <si>
    <t xml:space="preserve">I want to have the Invoice Receiver data displayed in the PO printout and EDI on header level. Email and phone number available.
</t>
  </si>
  <si>
    <t>Invoice Address will be predefined Text and will be on header level based on
Company Code
Purchase Org
Pgroup
Doc Type</t>
  </si>
  <si>
    <t>28.10-MAS: EDI require more analysis</t>
  </si>
  <si>
    <t xml:space="preserve">Refer to new WHT Standard SX Process for Rel 1320.WHT Team - Ali S. CF T </t>
  </si>
  <si>
    <t>Tax Team - Max Roesch
N/A for DE CoCo</t>
  </si>
  <si>
    <t>Purchse Order Creator --&gt; Name and data (from User Profile)
Purchasing Group --&gt; Name and data (from configuration)
Purchasing Group per each buyer will be configured</t>
  </si>
  <si>
    <t>28.10-MAS: Check if the PO changes will be highlighted to the supplier to identify the changes</t>
  </si>
  <si>
    <t>28.10-MAS: config should be performed to activate the functionality</t>
  </si>
  <si>
    <t>28.10-MAS: The requirment here is for the Receipient (Invoice Receiver) to be copied from the PR to PO and then printed. By defualt it will be printed from the PR to the PO and will be printed per line item.
If it will be printed on header level, then a custome logic should be implemented</t>
  </si>
  <si>
    <t>Blocker: PO Print out shall contain the Contract ID</t>
  </si>
  <si>
    <t>Blocker: PO Print out shall contain the Guarantees</t>
  </si>
  <si>
    <t>I want the POR (Purchase Order Response) process to be implemented as per Sherpa X Standard</t>
  </si>
  <si>
    <t>Order Aknowledgement could be selected per each line item
Vendor Confirmation Flexible WF is active for NB document type but not for FO</t>
  </si>
  <si>
    <t>5.4.1 Manage Purchase Order Confirmation / Response</t>
  </si>
  <si>
    <t>28.10-MAS: check the Toleramces</t>
  </si>
  <si>
    <t>Not possible, if we receive a supplier confirmtaion with approval status. The the new one will not be created.</t>
  </si>
  <si>
    <t>28.10-MAS: Provide cases:
If SRE receives a confirmation after an already approved or rejected confirmation .</t>
  </si>
  <si>
    <t>28.10-MAS: Provide a list of reports</t>
  </si>
  <si>
    <t>30.10-MAS: As per the email from Sven, the R4B status 
16.10-MAS: Align with GF if this is already linked to the PR and PO. (Nazli or Uwe or Sven). From Source to Contract ( S2C) process</t>
  </si>
  <si>
    <t>Prio (DRAFT, TB FINALIZED)</t>
  </si>
  <si>
    <t xml:space="preserve">I want that possible PO approvers are determined automatically </t>
  </si>
  <si>
    <t>The Payment terms will not be available in PR.
It will be maintaned directly in the PO.
It will be printed in the PO Form (The Payment Term Description)</t>
  </si>
  <si>
    <t>Priority</t>
  </si>
  <si>
    <t>Sheet</t>
  </si>
  <si>
    <t>Start date is used for As-Is SJ-Sonstige Jahresbest document type and will be replaced by FO document type.
Start date will be avaibale in PR-FO line item and will be copied to PO-FO.</t>
  </si>
  <si>
    <t>End date is used for As-Is SJ-Sonstige Jahresbest document type and will be replaced by FO document type.
End date will be avaibale in PR-FO line item and will be copied to PO-FO.</t>
  </si>
  <si>
    <t>Z-Field is required in SHERPAX (Y-N)</t>
  </si>
  <si>
    <t>Standard Field</t>
  </si>
  <si>
    <t>EKKO-ZTERM</t>
  </si>
  <si>
    <t>PO - Header</t>
  </si>
  <si>
    <t>PR - Line item
PO - Header</t>
  </si>
  <si>
    <t>EBAN-STARTDATE
EKKO-KDATB</t>
  </si>
  <si>
    <t>EBAN-ENDDATE
EKKO-KDATE</t>
  </si>
  <si>
    <t>Functionaloity</t>
  </si>
  <si>
    <t>Report</t>
  </si>
  <si>
    <t>SHERPAX
Used In</t>
  </si>
  <si>
    <t>EKKO-AEDAT</t>
  </si>
  <si>
    <t>Purchase Order creation date could identified with ME5A.
Field Automatically filled with PO creation data in PO and an enhancement is running on MP1 to copy it in PR</t>
  </si>
  <si>
    <t>PO printout</t>
  </si>
  <si>
    <t>Copied to PO Standard field</t>
  </si>
  <si>
    <t>Notification</t>
  </si>
  <si>
    <t>Standard SAP field which is in the PR and PO.
Will be automatically transfered to the PO from the reference PR.
As requested to be by default equal to the PR creator</t>
  </si>
  <si>
    <t>Define the PO document type, which will be created from the PR.
Purchaser will select the correct PO doc type manually.
The link between the PR and PO will be conrolled by the SHERPAX configured document types refrences.</t>
  </si>
  <si>
    <t>EKKO-BSART</t>
  </si>
  <si>
    <t>PO document numbers which have been created with the PR-item as reference will be automatically updated in the PR.
PO texts will be copied from the PR based on SHERPAX copying rules.</t>
  </si>
  <si>
    <t>As-Is: This is the PO header field, which is used for PO Print out  (Contact Person) and Invoice Receiver</t>
  </si>
  <si>
    <t>The Contract ID will not be available in PR.
It will be maintaned directly in the PO-Your Reference Field (12 digit) and will be printed in PO print Form.
As-Is: the field is copied to PO Z-field in the header to be printed</t>
  </si>
  <si>
    <t>R-3.3.12</t>
  </si>
  <si>
    <t>R-3.3.13</t>
  </si>
  <si>
    <t>PO printout - 
Text Control</t>
  </si>
  <si>
    <t>Intergation</t>
  </si>
  <si>
    <t>I2P</t>
  </si>
  <si>
    <t>As-Is: The field is mantained in PR line item will is copied to PO Z-field in Header.
To-Be: Service Confirmation in VIM workflow</t>
  </si>
  <si>
    <t>Comment</t>
  </si>
  <si>
    <t>Standard SAP behaviour.
PO is entirelly approved on Header Level.
Flexible WF: Starting Condition currently for Cost Center or Project
- With SAT interface only one cost center will be sent to SAT to get the approvers --&gt; in Buzias, the cost center in the first line item is selected.</t>
  </si>
  <si>
    <t xml:space="preserve">04.11-MAS: Header is not possible in SHERPAX, but Item is available
28.10-MAS: email from Markus G. "it is possible to transfer data up to 500MB. But the recommended size should not be more than 50MB".
16.10-MAS: The size of the attachement should be checked
</t>
  </si>
  <si>
    <t>Document Size should be checked.</t>
  </si>
  <si>
    <t>04.11-MAS: Add another requirement to send the PO only to a buyer , R-3.2.18 could be used</t>
  </si>
  <si>
    <t xml:space="preserve">G.P to merge the two requirements R-3.2.17 and R-3.2.18, this requirement will be only for sending or not sending the PO to supplier </t>
  </si>
  <si>
    <t>I want to select an alternative email to whom the Po should be sent</t>
  </si>
  <si>
    <t>I want to decide if a PO change should be sent to supplier and the changes to be highlighted</t>
  </si>
  <si>
    <t>Not Required</t>
  </si>
  <si>
    <t>R-3.3.14</t>
  </si>
  <si>
    <t>SX_GF_P2P_P2R_Manage Purchase Requisition</t>
  </si>
  <si>
    <t>SX_GF_P2P_P2R_Manage Purchase Order</t>
  </si>
  <si>
    <t>SX_GF_P2P_P2R_Workflow Setup &amp; SAT Integration</t>
  </si>
  <si>
    <t>SX_GF_P2P_P2R_Email Notifications &amp; Reminders &amp; Alerts</t>
  </si>
  <si>
    <t>SX_GF_P2P_P2R_PO Output &amp; PO Response &amp; PO Change</t>
  </si>
  <si>
    <t>SX_GF_P2P_P2R_Fields specific Requirements</t>
  </si>
  <si>
    <t>SX_GF_P2P_P2R_Reporting</t>
  </si>
  <si>
    <t>SX_GF_P2P_P2R_Rollout Phases</t>
  </si>
  <si>
    <t>SX-20956</t>
  </si>
  <si>
    <t>SX-42305</t>
  </si>
  <si>
    <t>want to prepare a catalogue based purchase requisition using punchout process for SRE Direct process</t>
  </si>
  <si>
    <t>R-2.1.13</t>
  </si>
  <si>
    <t>Dependancy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</si>
</sst>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3" x14ac:knownFonts="1">
    <font>
      <sz val="11"/>
      <color theme="1"/>
      <name val="Calibri"/>
      <family val="2"/>
      <scheme val="minor"/>
    </font>
    <font>
      <sz val="12"/>
      <color theme="1"/>
      <name val="Calibri"/>
      <family val="2"/>
      <scheme val="minor"/>
    </font>
    <font>
      <sz val="11"/>
      <color indexed="8"/>
      <name val="Calibri"/>
      <family val="2"/>
      <scheme val="minor"/>
    </font>
    <font>
      <sz val="12"/>
      <color rgb="FF000000"/>
      <name val="Calibri"/>
      <family val="2"/>
    </font>
    <font>
      <sz val="11"/>
      <name val="Calibri"/>
      <family val="2"/>
      <scheme val="minor"/>
    </font>
    <font>
      <b/>
      <sz val="11"/>
      <color theme="1"/>
      <name val="Calibri"/>
      <family val="2"/>
      <scheme val="minor"/>
    </font>
    <font>
      <b/>
      <sz val="11"/>
      <color theme="0"/>
      <name val="Calibri"/>
      <family val="2"/>
      <scheme val="minor"/>
    </font>
    <font>
      <sz val="11"/>
      <color rgb="FF444444"/>
      <name val="Calibri"/>
      <family val="2"/>
    </font>
    <font>
      <b/>
      <sz val="11"/>
      <color rgb="FF000000"/>
      <name val="Calibri"/>
      <family val="2"/>
      <scheme val="minor"/>
    </font>
    <font>
      <sz val="8"/>
      <name val="Calibri"/>
      <family val="2"/>
      <scheme val="minor"/>
    </font>
    <font>
      <sz val="7"/>
      <color theme="1"/>
      <name val="Times New Roman"/>
      <family val="1"/>
    </font>
    <font>
      <sz val="7"/>
      <color theme="1"/>
      <name val="Calibri Light"/>
      <family val="2"/>
      <scheme val="major"/>
    </font>
    <font>
      <sz val="11"/>
      <color theme="1"/>
      <name val="Calibri Light"/>
      <family val="2"/>
      <scheme val="major"/>
    </font>
    <font>
      <sz val="11"/>
      <color rgb="FF7030A0"/>
      <name val="Arial"/>
      <family val="2"/>
    </font>
    <font>
      <sz val="7"/>
      <color rgb="FF7030A0"/>
      <name val="Times New Roman"/>
      <family val="1"/>
    </font>
    <font>
      <u/>
      <sz val="11"/>
      <color theme="10"/>
      <name val="Calibri"/>
      <family val="2"/>
      <scheme val="minor"/>
    </font>
    <font>
      <b/>
      <sz val="11"/>
      <color rgb="FF002060"/>
      <name val="Calibri"/>
      <family val="2"/>
      <scheme val="minor"/>
    </font>
    <font>
      <b/>
      <sz val="12"/>
      <color rgb="FF002060"/>
      <name val="Calibri"/>
      <family val="2"/>
      <scheme val="minor"/>
    </font>
    <font>
      <sz val="9"/>
      <color theme="1"/>
      <name val="Calibri"/>
      <family val="2"/>
      <scheme val="minor"/>
    </font>
    <font>
      <sz val="11"/>
      <color rgb="FFFF0000"/>
      <name val="Calibri"/>
      <family val="2"/>
      <scheme val="minor"/>
    </font>
    <font>
      <b/>
      <sz val="11"/>
      <color rgb="FF002060"/>
      <name val="Aptos Narrow"/>
      <family val="2"/>
    </font>
    <font>
      <b/>
      <sz val="11"/>
      <color rgb="FFE97132"/>
      <name val="Aptos Narrow"/>
      <family val="2"/>
    </font>
    <font>
      <sz val="11"/>
      <color rgb="FF000000"/>
      <name val="Aptos Narrow"/>
      <family val="2"/>
    </font>
    <font>
      <sz val="11"/>
      <name val="Aptos Narrow"/>
      <family val="2"/>
    </font>
    <font>
      <sz val="11"/>
      <name val="Calibri"/>
      <family val="2"/>
    </font>
    <font>
      <b/>
      <sz val="9"/>
      <color rgb="FFFFFFFF"/>
      <name val="Arial"/>
      <family val="2"/>
    </font>
    <font>
      <sz val="8"/>
      <color rgb="FF000000"/>
      <name val="Arial"/>
      <family val="2"/>
    </font>
    <font>
      <b/>
      <sz val="8"/>
      <color rgb="FF000000"/>
      <name val="Arial"/>
      <family val="2"/>
    </font>
    <font>
      <sz val="11"/>
      <color rgb="FF000000"/>
      <name val="Calibri"/>
      <family val="2"/>
    </font>
    <font>
      <sz val="11"/>
      <color theme="9"/>
      <name val="Calibri"/>
      <family val="2"/>
      <scheme val="minor"/>
    </font>
    <font>
      <sz val="11"/>
      <color rgb="FF000000"/>
      <name val="Calibri"/>
      <family val="2"/>
      <scheme val="minor"/>
    </font>
    <font>
      <sz val="11"/>
      <color theme="0"/>
      <name val="Calibri"/>
      <family val="2"/>
      <scheme val="minor"/>
    </font>
    <font>
      <sz val="11"/>
      <color rgb="FF00B050"/>
      <name val="Calibri"/>
      <family val="2"/>
      <scheme val="minor"/>
    </font>
    <font>
      <b/>
      <sz val="11"/>
      <color rgb="FF002060"/>
      <name val="Aptos Narrow"/>
      <family val="2"/>
    </font>
    <font>
      <b/>
      <sz val="11"/>
      <color rgb="FFE97132"/>
      <name val="Aptos Narrow"/>
      <family val="2"/>
    </font>
    <font>
      <sz val="11"/>
      <color rgb="FF000000"/>
      <name val="Aptos Narrow"/>
      <family val="2"/>
    </font>
    <font>
      <sz val="11"/>
      <color rgb="FFFF0000"/>
      <name val="Aptos Narrow"/>
      <family val="2"/>
    </font>
    <font>
      <b/>
      <sz val="11"/>
      <color rgb="FFC00000"/>
      <name val="Calibri"/>
      <family val="2"/>
      <scheme val="minor"/>
    </font>
    <font>
      <sz val="11"/>
      <color rgb="FF002060"/>
      <name val="Calibri"/>
      <family val="2"/>
      <scheme val="minor"/>
    </font>
    <font>
      <sz val="11"/>
      <color theme="1"/>
      <name val="Calibri"/>
      <family val="2"/>
      <scheme val="minor"/>
    </font>
    <font>
      <b/>
      <sz val="11"/>
      <color rgb="FF000000"/>
      <name val="Aptos Narrow"/>
      <family val="2"/>
    </font>
    <font>
      <b/>
      <sz val="11"/>
      <name val="Aptos Narrow"/>
      <family val="2"/>
    </font>
    <font>
      <b/>
      <sz val="12"/>
      <color theme="1"/>
      <name val="Calibri"/>
      <family val="2"/>
      <scheme val="minor"/>
    </font>
  </fonts>
  <fills count="3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CC9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BDD7EE"/>
        <bgColor rgb="FF000000"/>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theme="2"/>
        <bgColor indexed="64"/>
      </patternFill>
    </fill>
    <fill>
      <patternFill patternType="solid">
        <fgColor theme="8" tint="0.79998168889431442"/>
        <bgColor theme="8" tint="0.79998168889431442"/>
      </patternFill>
    </fill>
    <fill>
      <patternFill patternType="solid">
        <fgColor rgb="FFFFC0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C000"/>
        <bgColor rgb="FF000000"/>
      </patternFill>
    </fill>
    <fill>
      <patternFill patternType="solid">
        <fgColor rgb="FF83CCEB"/>
        <bgColor rgb="FF000000"/>
      </patternFill>
    </fill>
    <fill>
      <patternFill patternType="solid">
        <fgColor rgb="FFFFFF00"/>
        <bgColor rgb="FF000000"/>
      </patternFill>
    </fill>
    <fill>
      <patternFill patternType="solid">
        <fgColor theme="0" tint="-0.249977111117893"/>
        <bgColor rgb="FF000000"/>
      </patternFill>
    </fill>
    <fill>
      <patternFill patternType="solid">
        <fgColor rgb="FF009999"/>
        <bgColor indexed="64"/>
      </patternFill>
    </fill>
    <fill>
      <patternFill patternType="solid">
        <fgColor rgb="FF00B0F0"/>
        <bgColor indexed="64"/>
      </patternFill>
    </fill>
    <fill>
      <patternFill patternType="solid">
        <fgColor rgb="FFCBDEDE"/>
        <bgColor indexed="64"/>
      </patternFill>
    </fill>
    <fill>
      <patternFill patternType="solid">
        <fgColor rgb="FFE7EFEF"/>
        <bgColor indexed="64"/>
      </patternFill>
    </fill>
    <fill>
      <patternFill patternType="solid">
        <fgColor theme="7" tint="0.59999389629810485"/>
        <bgColor indexed="64"/>
      </patternFill>
    </fill>
    <fill>
      <patternFill patternType="solid">
        <fgColor theme="4"/>
        <bgColor indexed="64"/>
      </patternFill>
    </fill>
    <fill>
      <patternFill patternType="solid">
        <fgColor rgb="FF92D050"/>
        <bgColor rgb="FF000000"/>
      </patternFill>
    </fill>
    <fill>
      <patternFill patternType="solid">
        <fgColor rgb="FF00B0F0"/>
        <bgColor rgb="FF000000"/>
      </patternFill>
    </fill>
    <fill>
      <patternFill patternType="solid">
        <fgColor theme="4" tint="0.59999389629810485"/>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theme="8" tint="0.39997558519241921"/>
      </top>
      <bottom style="thin">
        <color theme="8" tint="0.39997558519241921"/>
      </bottom>
      <diagonal/>
    </border>
    <border>
      <left/>
      <right/>
      <top/>
      <bottom style="thin">
        <color theme="8" tint="0.39997558519241921"/>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theme="8" tint="0.39997558519241921"/>
      </bottom>
      <diagonal/>
    </border>
    <border>
      <left/>
      <right style="medium">
        <color indexed="64"/>
      </right>
      <top/>
      <bottom style="thin">
        <color theme="8" tint="0.39997558519241921"/>
      </bottom>
      <diagonal/>
    </border>
    <border>
      <left style="medium">
        <color indexed="64"/>
      </left>
      <right/>
      <top style="thin">
        <color theme="8" tint="0.39997558519241921"/>
      </top>
      <bottom style="thin">
        <color theme="8" tint="0.39997558519241921"/>
      </bottom>
      <diagonal/>
    </border>
    <border>
      <left/>
      <right style="medium">
        <color indexed="64"/>
      </right>
      <top style="thin">
        <color theme="8" tint="0.39997558519241921"/>
      </top>
      <bottom style="thin">
        <color theme="8" tint="0.3999755851924192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7">
    <xf numFmtId="0" fontId="0" fillId="0" borderId="0"/>
    <xf numFmtId="0" fontId="2" fillId="0" borderId="0"/>
    <xf numFmtId="0" fontId="1" fillId="0" borderId="0"/>
    <xf numFmtId="0" fontId="3" fillId="0" borderId="0"/>
    <xf numFmtId="0" fontId="2" fillId="0" borderId="0"/>
    <xf numFmtId="0" fontId="15" fillId="0" borderId="0" applyNumberFormat="0" applyFill="0" applyBorder="0" applyAlignment="0" applyProtection="0"/>
    <xf numFmtId="9" fontId="39" fillId="0" borderId="0" applyFont="0" applyFill="0" applyBorder="0" applyAlignment="0" applyProtection="0"/>
  </cellStyleXfs>
  <cellXfs count="196">
    <xf numFmtId="0" fontId="0" fillId="0" borderId="0" xfId="0"/>
    <xf numFmtId="0" fontId="0" fillId="0" borderId="1" xfId="0" applyBorder="1" applyAlignment="1">
      <alignment horizontal="left" vertical="top" wrapText="1"/>
    </xf>
    <xf numFmtId="0" fontId="0" fillId="2" borderId="1" xfId="0" applyFill="1" applyBorder="1" applyAlignment="1">
      <alignment horizontal="left" vertical="top" wrapText="1"/>
    </xf>
    <xf numFmtId="0" fontId="0" fillId="3" borderId="1" xfId="0" applyFill="1" applyBorder="1" applyAlignment="1">
      <alignment horizontal="left" vertical="top" wrapText="1"/>
    </xf>
    <xf numFmtId="0" fontId="0" fillId="0" borderId="1" xfId="0" applyBorder="1" applyAlignment="1">
      <alignment vertical="top" wrapText="1"/>
    </xf>
    <xf numFmtId="0" fontId="0" fillId="0" borderId="0" xfId="0" applyAlignment="1">
      <alignment vertical="top" wrapText="1"/>
    </xf>
    <xf numFmtId="0" fontId="0" fillId="0" borderId="0" xfId="0" applyAlignment="1">
      <alignment wrapText="1"/>
    </xf>
    <xf numFmtId="0" fontId="0" fillId="5" borderId="1" xfId="0" applyFill="1" applyBorder="1" applyAlignment="1">
      <alignment vertical="top" wrapText="1"/>
    </xf>
    <xf numFmtId="0" fontId="0" fillId="0" borderId="1" xfId="0" applyBorder="1" applyAlignment="1">
      <alignment horizontal="center" vertical="top" wrapText="1"/>
    </xf>
    <xf numFmtId="0" fontId="0" fillId="0" borderId="1" xfId="0" quotePrefix="1" applyBorder="1" applyAlignment="1">
      <alignment vertical="top" wrapText="1"/>
    </xf>
    <xf numFmtId="0" fontId="5" fillId="0" borderId="0" xfId="0" applyFont="1" applyAlignment="1">
      <alignment vertical="top" wrapText="1"/>
    </xf>
    <xf numFmtId="0" fontId="0" fillId="0" borderId="0" xfId="0" applyAlignment="1">
      <alignment horizontal="center" vertical="top" wrapText="1"/>
    </xf>
    <xf numFmtId="0" fontId="6" fillId="4" borderId="1" xfId="0" applyFont="1" applyFill="1" applyBorder="1" applyAlignment="1">
      <alignment horizontal="center" vertical="top" wrapText="1"/>
    </xf>
    <xf numFmtId="0" fontId="5" fillId="0" borderId="1" xfId="0" applyFont="1" applyBorder="1" applyAlignment="1">
      <alignment horizontal="left" vertical="top" wrapText="1"/>
    </xf>
    <xf numFmtId="0" fontId="8" fillId="7" borderId="1" xfId="0" applyFont="1" applyFill="1" applyBorder="1" applyAlignment="1">
      <alignment horizontal="center" vertical="top" wrapText="1"/>
    </xf>
    <xf numFmtId="0" fontId="0" fillId="6" borderId="1" xfId="0" applyFill="1" applyBorder="1" applyAlignment="1">
      <alignment wrapText="1"/>
    </xf>
    <xf numFmtId="0" fontId="0" fillId="6"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6" borderId="1" xfId="0" applyFill="1" applyBorder="1" applyAlignment="1">
      <alignment vertical="center" wrapText="1"/>
    </xf>
    <xf numFmtId="0" fontId="0" fillId="6" borderId="1" xfId="0" applyFill="1" applyBorder="1" applyAlignment="1">
      <alignment horizontal="center" vertical="center" wrapText="1"/>
    </xf>
    <xf numFmtId="0" fontId="7" fillId="0" borderId="1" xfId="0" applyFont="1" applyBorder="1" applyAlignment="1">
      <alignment vertical="top" wrapText="1"/>
    </xf>
    <xf numFmtId="0" fontId="0" fillId="2" borderId="1" xfId="0" applyFill="1" applyBorder="1" applyAlignment="1">
      <alignment vertical="top" wrapText="1"/>
    </xf>
    <xf numFmtId="0" fontId="13" fillId="0" borderId="1" xfId="0" applyFont="1" applyBorder="1" applyAlignment="1">
      <alignment horizontal="left" vertical="center" indent="3"/>
    </xf>
    <xf numFmtId="0" fontId="0" fillId="0" borderId="3" xfId="0" applyBorder="1" applyAlignment="1">
      <alignment horizontal="center" vertical="top" wrapText="1"/>
    </xf>
    <xf numFmtId="0" fontId="0" fillId="0" borderId="1" xfId="0" applyBorder="1" applyAlignment="1">
      <alignment vertical="center" wrapText="1"/>
    </xf>
    <xf numFmtId="0" fontId="0" fillId="10" borderId="1" xfId="0" applyFill="1" applyBorder="1" applyAlignment="1">
      <alignment vertical="top" wrapText="1"/>
    </xf>
    <xf numFmtId="0" fontId="0" fillId="3" borderId="1" xfId="0" applyFill="1" applyBorder="1" applyAlignment="1">
      <alignment vertical="top" wrapText="1"/>
    </xf>
    <xf numFmtId="0" fontId="0" fillId="3" borderId="1" xfId="0" applyFill="1" applyBorder="1" applyAlignment="1">
      <alignment horizontal="center" vertical="top" wrapText="1"/>
    </xf>
    <xf numFmtId="0" fontId="0" fillId="3" borderId="0" xfId="0" applyFill="1" applyAlignment="1">
      <alignment vertical="top" wrapText="1"/>
    </xf>
    <xf numFmtId="0" fontId="5" fillId="0" borderId="0" xfId="0" applyFont="1" applyAlignment="1">
      <alignment vertical="center"/>
    </xf>
    <xf numFmtId="0" fontId="0" fillId="0" borderId="0" xfId="0" applyAlignment="1">
      <alignment vertical="center"/>
    </xf>
    <xf numFmtId="0" fontId="15" fillId="0" borderId="0" xfId="5" applyAlignment="1">
      <alignment vertical="center"/>
    </xf>
    <xf numFmtId="0" fontId="0" fillId="0" borderId="0" xfId="0" applyAlignment="1">
      <alignment vertical="center" wrapText="1"/>
    </xf>
    <xf numFmtId="0" fontId="0" fillId="0" borderId="0" xfId="0" applyAlignment="1">
      <alignment horizontal="center" vertical="center"/>
    </xf>
    <xf numFmtId="0" fontId="0" fillId="11" borderId="1" xfId="0" applyFill="1" applyBorder="1" applyAlignment="1">
      <alignment vertical="top" wrapText="1"/>
    </xf>
    <xf numFmtId="0" fontId="0" fillId="0" borderId="0" xfId="0" applyAlignment="1">
      <alignment horizontal="center" vertical="top"/>
    </xf>
    <xf numFmtId="0" fontId="0" fillId="0" borderId="0" xfId="0" applyAlignment="1">
      <alignment vertical="top"/>
    </xf>
    <xf numFmtId="0" fontId="5" fillId="0" borderId="1" xfId="0" applyFont="1" applyBorder="1" applyAlignment="1">
      <alignment horizontal="center" vertical="top"/>
    </xf>
    <xf numFmtId="0" fontId="0" fillId="0" borderId="1" xfId="0" applyBorder="1" applyAlignment="1">
      <alignment vertical="top"/>
    </xf>
    <xf numFmtId="0" fontId="0" fillId="6" borderId="0" xfId="0" applyFill="1" applyAlignment="1">
      <alignment horizontal="center" vertical="center"/>
    </xf>
    <xf numFmtId="0" fontId="0" fillId="6" borderId="0" xfId="0" applyFill="1" applyAlignment="1">
      <alignment vertical="center"/>
    </xf>
    <xf numFmtId="0" fontId="5" fillId="0" borderId="0" xfId="0" applyFont="1" applyAlignment="1">
      <alignment horizontal="center" vertical="center" wrapText="1"/>
    </xf>
    <xf numFmtId="0" fontId="5" fillId="0" borderId="0" xfId="0" applyFont="1" applyAlignment="1">
      <alignment vertical="center" wrapText="1"/>
    </xf>
    <xf numFmtId="0" fontId="0" fillId="0" borderId="0" xfId="0" applyAlignment="1">
      <alignment horizontal="center" vertical="center" wrapText="1"/>
    </xf>
    <xf numFmtId="0" fontId="0" fillId="0" borderId="1" xfId="0" applyBorder="1" applyAlignment="1">
      <alignment horizontal="left" vertical="top"/>
    </xf>
    <xf numFmtId="18" fontId="5" fillId="12" borderId="1" xfId="0" applyNumberFormat="1" applyFont="1" applyFill="1" applyBorder="1" applyAlignment="1">
      <alignment horizontal="center" vertical="top"/>
    </xf>
    <xf numFmtId="0" fontId="5" fillId="12" borderId="1" xfId="0" applyFont="1" applyFill="1" applyBorder="1" applyAlignment="1">
      <alignment horizontal="center" vertical="top"/>
    </xf>
    <xf numFmtId="0" fontId="0" fillId="0" borderId="1" xfId="0" applyBorder="1" applyAlignment="1">
      <alignment horizontal="center" vertical="top"/>
    </xf>
    <xf numFmtId="0" fontId="0" fillId="13" borderId="5" xfId="0" applyFill="1" applyBorder="1" applyAlignment="1">
      <alignment horizontal="center" vertical="center" wrapText="1"/>
    </xf>
    <xf numFmtId="0" fontId="0" fillId="0" borderId="5" xfId="0" applyBorder="1" applyAlignment="1">
      <alignment horizontal="center" vertical="center" wrapText="1"/>
    </xf>
    <xf numFmtId="0" fontId="0" fillId="13" borderId="6" xfId="0" applyFill="1" applyBorder="1" applyAlignment="1">
      <alignment horizontal="center" vertical="center" wrapText="1"/>
    </xf>
    <xf numFmtId="0" fontId="16" fillId="14" borderId="1" xfId="0" applyFont="1" applyFill="1" applyBorder="1" applyAlignment="1">
      <alignment horizontal="center" vertical="center"/>
    </xf>
    <xf numFmtId="0" fontId="16" fillId="14" borderId="1" xfId="0" applyFont="1" applyFill="1" applyBorder="1" applyAlignment="1">
      <alignment vertical="center"/>
    </xf>
    <xf numFmtId="0" fontId="0" fillId="13" borderId="6" xfId="0" applyFill="1" applyBorder="1" applyAlignment="1">
      <alignment horizontal="left" vertical="center" wrapText="1"/>
    </xf>
    <xf numFmtId="0" fontId="0" fillId="0" borderId="5" xfId="0" applyBorder="1" applyAlignment="1">
      <alignment horizontal="left" vertical="center" wrapText="1"/>
    </xf>
    <xf numFmtId="0" fontId="0" fillId="13" borderId="5" xfId="0" applyFill="1" applyBorder="1" applyAlignment="1">
      <alignment horizontal="left" vertical="center" wrapText="1"/>
    </xf>
    <xf numFmtId="0" fontId="17" fillId="14" borderId="1" xfId="0" applyFont="1" applyFill="1" applyBorder="1" applyAlignment="1">
      <alignment horizontal="center" vertical="top" wrapText="1"/>
    </xf>
    <xf numFmtId="0" fontId="16" fillId="9" borderId="0" xfId="0" applyFont="1" applyFill="1" applyAlignment="1">
      <alignment horizontal="center" vertical="top" wrapText="1"/>
    </xf>
    <xf numFmtId="0" fontId="16" fillId="9" borderId="0" xfId="0" applyFont="1" applyFill="1" applyAlignment="1">
      <alignment vertical="top" wrapText="1"/>
    </xf>
    <xf numFmtId="0" fontId="17" fillId="15" borderId="1" xfId="0" applyFont="1" applyFill="1" applyBorder="1" applyAlignment="1">
      <alignment horizontal="center" vertical="top" wrapText="1"/>
    </xf>
    <xf numFmtId="0" fontId="0" fillId="0" borderId="1" xfId="0" applyBorder="1" applyAlignment="1">
      <alignment horizontal="left" vertical="center" wrapText="1"/>
    </xf>
    <xf numFmtId="0" fontId="18" fillId="0" borderId="0" xfId="0" applyFont="1" applyAlignment="1">
      <alignment vertical="top" wrapText="1"/>
    </xf>
    <xf numFmtId="0" fontId="18" fillId="0" borderId="1" xfId="0" applyFont="1" applyBorder="1" applyAlignment="1">
      <alignment vertical="top" wrapText="1"/>
    </xf>
    <xf numFmtId="0" fontId="5" fillId="0" borderId="0" xfId="0" applyFont="1" applyAlignment="1">
      <alignment horizontal="center" vertical="center"/>
    </xf>
    <xf numFmtId="0" fontId="4" fillId="0" borderId="1" xfId="0" applyFont="1" applyBorder="1" applyAlignment="1">
      <alignment horizontal="left" vertical="center" wrapText="1"/>
    </xf>
    <xf numFmtId="0" fontId="0" fillId="16" borderId="1" xfId="0" applyFill="1" applyBorder="1" applyAlignment="1">
      <alignment horizontal="left" vertical="center" wrapText="1"/>
    </xf>
    <xf numFmtId="0" fontId="0" fillId="17" borderId="1" xfId="0" applyFill="1" applyBorder="1" applyAlignment="1">
      <alignment vertical="top" wrapText="1"/>
    </xf>
    <xf numFmtId="0" fontId="0" fillId="18" borderId="1" xfId="0" applyFill="1" applyBorder="1" applyAlignment="1">
      <alignment horizontal="left" vertical="center" wrapText="1"/>
    </xf>
    <xf numFmtId="0" fontId="1" fillId="0" borderId="0" xfId="0" applyFont="1" applyAlignment="1">
      <alignment vertical="top" wrapText="1"/>
    </xf>
    <xf numFmtId="0" fontId="21" fillId="20" borderId="0" xfId="0" applyFont="1" applyFill="1" applyAlignment="1">
      <alignment horizontal="left" vertical="top" wrapText="1"/>
    </xf>
    <xf numFmtId="0" fontId="25" fillId="23" borderId="7" xfId="0" applyFont="1" applyFill="1" applyBorder="1" applyAlignment="1">
      <alignment horizontal="left" vertical="center" wrapText="1" readingOrder="1"/>
    </xf>
    <xf numFmtId="0" fontId="25" fillId="24" borderId="7" xfId="0" applyFont="1" applyFill="1" applyBorder="1" applyAlignment="1">
      <alignment horizontal="left" vertical="center" wrapText="1" readingOrder="1"/>
    </xf>
    <xf numFmtId="0" fontId="25" fillId="11" borderId="7" xfId="0" applyFont="1" applyFill="1" applyBorder="1" applyAlignment="1">
      <alignment horizontal="left" vertical="center" wrapText="1" readingOrder="1"/>
    </xf>
    <xf numFmtId="0" fontId="26" fillId="25" borderId="8" xfId="0" applyFont="1" applyFill="1" applyBorder="1" applyAlignment="1">
      <alignment horizontal="left" vertical="center" wrapText="1" readingOrder="1"/>
    </xf>
    <xf numFmtId="0" fontId="27" fillId="25" borderId="8" xfId="0" applyFont="1" applyFill="1" applyBorder="1" applyAlignment="1">
      <alignment horizontal="left" vertical="center" wrapText="1" readingOrder="1"/>
    </xf>
    <xf numFmtId="0" fontId="26" fillId="25" borderId="10" xfId="0" applyFont="1" applyFill="1" applyBorder="1" applyAlignment="1">
      <alignment horizontal="left" vertical="center" wrapText="1" readingOrder="1"/>
    </xf>
    <xf numFmtId="0" fontId="26" fillId="26" borderId="11" xfId="0" applyFont="1" applyFill="1" applyBorder="1" applyAlignment="1">
      <alignment horizontal="left" vertical="center" wrapText="1" readingOrder="1"/>
    </xf>
    <xf numFmtId="0" fontId="27" fillId="26" borderId="11" xfId="0" applyFont="1" applyFill="1" applyBorder="1" applyAlignment="1">
      <alignment horizontal="left" vertical="center" wrapText="1" readingOrder="1"/>
    </xf>
    <xf numFmtId="0" fontId="26" fillId="25" borderId="12" xfId="0" applyFont="1" applyFill="1" applyBorder="1" applyAlignment="1">
      <alignment horizontal="left" vertical="center" wrapText="1" readingOrder="1"/>
    </xf>
    <xf numFmtId="0" fontId="27" fillId="25" borderId="12" xfId="0" applyFont="1" applyFill="1" applyBorder="1" applyAlignment="1">
      <alignment horizontal="left" vertical="center" wrapText="1" readingOrder="1"/>
    </xf>
    <xf numFmtId="0" fontId="26" fillId="26" borderId="12" xfId="0" applyFont="1" applyFill="1" applyBorder="1" applyAlignment="1">
      <alignment horizontal="left" vertical="center" wrapText="1" readingOrder="1"/>
    </xf>
    <xf numFmtId="0" fontId="27" fillId="26" borderId="12" xfId="0" applyFont="1" applyFill="1" applyBorder="1" applyAlignment="1">
      <alignment horizontal="left" vertical="center" wrapText="1" readingOrder="1"/>
    </xf>
    <xf numFmtId="0" fontId="24" fillId="0" borderId="1" xfId="0" applyFont="1" applyBorder="1" applyAlignment="1">
      <alignment horizontal="left" vertical="center" wrapText="1"/>
    </xf>
    <xf numFmtId="0" fontId="19" fillId="0" borderId="1" xfId="0" applyFont="1" applyBorder="1" applyAlignment="1">
      <alignment vertical="top" wrapText="1"/>
    </xf>
    <xf numFmtId="0" fontId="19" fillId="0" borderId="1" xfId="0" applyFont="1" applyBorder="1" applyAlignment="1">
      <alignment horizontal="left" vertical="top" wrapText="1"/>
    </xf>
    <xf numFmtId="0" fontId="0" fillId="27" borderId="1" xfId="0" applyFill="1" applyBorder="1" applyAlignment="1">
      <alignment horizontal="left" vertical="top" wrapText="1"/>
    </xf>
    <xf numFmtId="0" fontId="0" fillId="17" borderId="1" xfId="0" applyFill="1" applyBorder="1" applyAlignment="1">
      <alignment horizontal="left" vertical="top" wrapText="1"/>
    </xf>
    <xf numFmtId="0" fontId="0" fillId="8" borderId="1" xfId="0" applyFill="1" applyBorder="1" applyAlignment="1">
      <alignment horizontal="left" vertical="top" wrapText="1"/>
    </xf>
    <xf numFmtId="0" fontId="28" fillId="0" borderId="1" xfId="0" applyFont="1" applyBorder="1" applyAlignment="1">
      <alignment vertical="top" wrapText="1"/>
    </xf>
    <xf numFmtId="0" fontId="25" fillId="11" borderId="13" xfId="0" applyFont="1" applyFill="1" applyBorder="1" applyAlignment="1">
      <alignment horizontal="left" vertical="center" wrapText="1" readingOrder="1"/>
    </xf>
    <xf numFmtId="0" fontId="17" fillId="3" borderId="1" xfId="0" applyFont="1" applyFill="1" applyBorder="1" applyAlignment="1">
      <alignment horizontal="center" vertical="top" wrapText="1"/>
    </xf>
    <xf numFmtId="0" fontId="30" fillId="0" borderId="1" xfId="0" applyFont="1" applyBorder="1" applyAlignment="1">
      <alignment vertical="top" wrapText="1"/>
    </xf>
    <xf numFmtId="0" fontId="30" fillId="0" borderId="1" xfId="0" applyFont="1" applyBorder="1" applyAlignment="1">
      <alignment horizontal="left" vertical="top" wrapText="1"/>
    </xf>
    <xf numFmtId="0" fontId="0" fillId="0" borderId="0" xfId="0" applyAlignment="1">
      <alignment horizontal="left" vertical="top" wrapText="1"/>
    </xf>
    <xf numFmtId="0" fontId="0" fillId="0" borderId="2" xfId="0" applyBorder="1" applyAlignment="1">
      <alignment vertical="top" wrapText="1"/>
    </xf>
    <xf numFmtId="0" fontId="0" fillId="0" borderId="0" xfId="0" applyAlignment="1">
      <alignment horizontal="left" vertical="center" wrapText="1"/>
    </xf>
    <xf numFmtId="0" fontId="0" fillId="0" borderId="13" xfId="0" applyBorder="1" applyAlignment="1">
      <alignment horizontal="left" vertical="center" wrapText="1"/>
    </xf>
    <xf numFmtId="0" fontId="0" fillId="0" borderId="13" xfId="0" applyBorder="1" applyAlignment="1">
      <alignment horizontal="left" vertical="center"/>
    </xf>
    <xf numFmtId="0" fontId="0" fillId="0" borderId="9" xfId="0" applyBorder="1" applyAlignment="1">
      <alignment horizontal="left" vertical="center" wrapText="1"/>
    </xf>
    <xf numFmtId="0" fontId="26" fillId="25" borderId="8" xfId="0" applyFont="1" applyFill="1" applyBorder="1" applyAlignment="1">
      <alignment vertical="center" wrapText="1" readingOrder="1"/>
    </xf>
    <xf numFmtId="0" fontId="27" fillId="25" borderId="8" xfId="0" applyFont="1" applyFill="1" applyBorder="1" applyAlignment="1">
      <alignment vertical="center" wrapText="1" readingOrder="1"/>
    </xf>
    <xf numFmtId="0" fontId="0" fillId="0" borderId="13" xfId="0" applyBorder="1"/>
    <xf numFmtId="0" fontId="26" fillId="26" borderId="12" xfId="0" applyFont="1" applyFill="1" applyBorder="1" applyAlignment="1">
      <alignment vertical="center" wrapText="1" readingOrder="1"/>
    </xf>
    <xf numFmtId="0" fontId="27" fillId="26" borderId="12" xfId="0" applyFont="1" applyFill="1" applyBorder="1" applyAlignment="1">
      <alignment vertical="center" wrapText="1" readingOrder="1"/>
    </xf>
    <xf numFmtId="0" fontId="0" fillId="0" borderId="0" xfId="0" applyAlignment="1">
      <alignment horizontal="left" vertical="center"/>
    </xf>
    <xf numFmtId="0" fontId="0" fillId="0" borderId="9" xfId="0" applyBorder="1" applyAlignment="1">
      <alignment horizontal="left" vertical="center"/>
    </xf>
    <xf numFmtId="0" fontId="26" fillId="24" borderId="8" xfId="0" applyFont="1" applyFill="1" applyBorder="1" applyAlignment="1">
      <alignment vertical="center" wrapText="1" readingOrder="1"/>
    </xf>
    <xf numFmtId="0" fontId="26" fillId="24" borderId="12" xfId="0" applyFont="1" applyFill="1" applyBorder="1" applyAlignment="1">
      <alignment vertical="center" wrapText="1" readingOrder="1"/>
    </xf>
    <xf numFmtId="0" fontId="20" fillId="19" borderId="0" xfId="0" applyFont="1" applyFill="1" applyAlignment="1">
      <alignment vertical="top"/>
    </xf>
    <xf numFmtId="0" fontId="22" fillId="0" borderId="1" xfId="0" applyFont="1" applyBorder="1" applyAlignment="1">
      <alignment horizontal="left" vertical="center" wrapText="1"/>
    </xf>
    <xf numFmtId="0" fontId="22" fillId="6" borderId="1" xfId="0" applyFont="1" applyFill="1" applyBorder="1" applyAlignment="1">
      <alignment horizontal="left" vertical="center" wrapText="1"/>
    </xf>
    <xf numFmtId="0" fontId="23" fillId="6" borderId="1" xfId="0" applyFont="1" applyFill="1" applyBorder="1" applyAlignment="1">
      <alignment horizontal="left" vertical="center" wrapText="1"/>
    </xf>
    <xf numFmtId="0" fontId="34" fillId="21" borderId="0" xfId="0" applyFont="1" applyFill="1" applyAlignment="1">
      <alignment horizontal="left" vertical="top" wrapText="1"/>
    </xf>
    <xf numFmtId="0" fontId="35" fillId="14" borderId="0" xfId="0" applyFont="1" applyFill="1" applyAlignment="1">
      <alignment wrapText="1"/>
    </xf>
    <xf numFmtId="0" fontId="35" fillId="3" borderId="0" xfId="0" applyFont="1" applyFill="1"/>
    <xf numFmtId="0" fontId="35" fillId="0" borderId="0" xfId="0" applyFont="1" applyAlignment="1">
      <alignment wrapText="1"/>
    </xf>
    <xf numFmtId="0" fontId="35" fillId="3" borderId="0" xfId="0" applyFont="1" applyFill="1" applyAlignment="1">
      <alignment wrapText="1"/>
    </xf>
    <xf numFmtId="0" fontId="36" fillId="0" borderId="0" xfId="0" applyFont="1"/>
    <xf numFmtId="0" fontId="35" fillId="0" borderId="0" xfId="0" applyFont="1"/>
    <xf numFmtId="0" fontId="35" fillId="6" borderId="1" xfId="0" applyFont="1" applyFill="1" applyBorder="1"/>
    <xf numFmtId="0" fontId="31" fillId="28" borderId="0" xfId="0" applyFont="1" applyFill="1"/>
    <xf numFmtId="0" fontId="38" fillId="0" borderId="0" xfId="0" applyFont="1" applyAlignment="1">
      <alignment vertical="top" wrapText="1"/>
    </xf>
    <xf numFmtId="0" fontId="0" fillId="6" borderId="0" xfId="0" applyFill="1" applyAlignment="1">
      <alignment horizontal="left" vertical="center"/>
    </xf>
    <xf numFmtId="0" fontId="16" fillId="14" borderId="17" xfId="0" applyFont="1" applyFill="1" applyBorder="1" applyAlignment="1">
      <alignment horizontal="center" vertical="center"/>
    </xf>
    <xf numFmtId="0" fontId="16" fillId="14" borderId="18" xfId="0" applyFont="1" applyFill="1" applyBorder="1" applyAlignment="1">
      <alignment horizontal="center" vertical="center"/>
    </xf>
    <xf numFmtId="0" fontId="16" fillId="14" borderId="0" xfId="0" applyFont="1" applyFill="1" applyAlignment="1">
      <alignment horizontal="center" vertical="center"/>
    </xf>
    <xf numFmtId="0" fontId="0" fillId="13" borderId="0" xfId="0" applyFill="1" applyAlignment="1">
      <alignment horizontal="center" vertical="center" wrapText="1"/>
    </xf>
    <xf numFmtId="0" fontId="0" fillId="13" borderId="22" xfId="0" applyFill="1" applyBorder="1" applyAlignment="1">
      <alignment horizontal="center" vertical="center" wrapText="1"/>
    </xf>
    <xf numFmtId="0" fontId="0" fillId="13" borderId="23" xfId="0" applyFill="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13" borderId="24" xfId="0" applyFill="1" applyBorder="1" applyAlignment="1">
      <alignment horizontal="center" vertical="center" wrapText="1"/>
    </xf>
    <xf numFmtId="0" fontId="0" fillId="13" borderId="25" xfId="0" applyFill="1" applyBorder="1" applyAlignment="1">
      <alignment horizontal="center" vertical="center" wrapText="1"/>
    </xf>
    <xf numFmtId="0" fontId="5" fillId="3" borderId="19"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0" fillId="2" borderId="0" xfId="0" applyFill="1" applyAlignment="1">
      <alignment vertical="top" wrapText="1"/>
    </xf>
    <xf numFmtId="0" fontId="0" fillId="2" borderId="0" xfId="0" applyFill="1" applyAlignment="1">
      <alignment horizontal="left" vertical="top" wrapText="1"/>
    </xf>
    <xf numFmtId="0" fontId="4" fillId="0" borderId="0" xfId="0" applyFont="1" applyAlignment="1">
      <alignment vertical="top" wrapText="1"/>
    </xf>
    <xf numFmtId="0" fontId="17" fillId="15" borderId="3" xfId="0" applyFont="1" applyFill="1" applyBorder="1" applyAlignment="1">
      <alignment horizontal="center" vertical="top" wrapText="1"/>
    </xf>
    <xf numFmtId="0" fontId="0" fillId="0" borderId="3" xfId="0" applyBorder="1" applyAlignment="1">
      <alignment vertical="top" wrapText="1"/>
    </xf>
    <xf numFmtId="0" fontId="0" fillId="0" borderId="3" xfId="0" applyBorder="1" applyAlignment="1">
      <alignment horizontal="left" vertical="top" wrapText="1"/>
    </xf>
    <xf numFmtId="0" fontId="5" fillId="14" borderId="1" xfId="0" applyFont="1" applyFill="1" applyBorder="1" applyAlignment="1">
      <alignment vertical="top" wrapText="1"/>
    </xf>
    <xf numFmtId="0" fontId="5" fillId="0" borderId="1" xfId="0" applyFont="1" applyBorder="1" applyAlignment="1">
      <alignment horizontal="center" vertical="center" wrapText="1"/>
    </xf>
    <xf numFmtId="0" fontId="19" fillId="8" borderId="1" xfId="0" applyFont="1" applyFill="1" applyBorder="1" applyAlignment="1">
      <alignment horizontal="left" vertical="top" wrapText="1"/>
    </xf>
    <xf numFmtId="0" fontId="0" fillId="3" borderId="1" xfId="0" applyFill="1" applyBorder="1" applyAlignment="1">
      <alignment horizontal="left" vertical="center" wrapText="1"/>
    </xf>
    <xf numFmtId="0" fontId="19" fillId="3" borderId="1" xfId="0" applyFont="1" applyFill="1" applyBorder="1" applyAlignment="1">
      <alignment vertical="top" wrapText="1"/>
    </xf>
    <xf numFmtId="0" fontId="38" fillId="3" borderId="0" xfId="0" applyFont="1" applyFill="1" applyAlignment="1">
      <alignment vertical="top" wrapText="1"/>
    </xf>
    <xf numFmtId="0" fontId="4" fillId="2" borderId="0" xfId="0" applyFont="1" applyFill="1" applyAlignment="1">
      <alignment vertical="top" wrapText="1"/>
    </xf>
    <xf numFmtId="0" fontId="0" fillId="3" borderId="2" xfId="0" applyFill="1" applyBorder="1" applyAlignment="1">
      <alignment vertical="top" wrapText="1"/>
    </xf>
    <xf numFmtId="0" fontId="40" fillId="21" borderId="1" xfId="0" applyFont="1" applyFill="1" applyBorder="1" applyAlignment="1">
      <alignment horizontal="left" vertical="center"/>
    </xf>
    <xf numFmtId="0" fontId="40" fillId="30" borderId="1" xfId="0" applyFont="1" applyFill="1" applyBorder="1" applyAlignment="1">
      <alignment horizontal="left" vertical="center"/>
    </xf>
    <xf numFmtId="0" fontId="40" fillId="22" borderId="1" xfId="0" applyFont="1" applyFill="1" applyBorder="1" applyAlignment="1">
      <alignment horizontal="left" vertical="center"/>
    </xf>
    <xf numFmtId="0" fontId="41" fillId="22" borderId="1" xfId="0" applyFont="1" applyFill="1" applyBorder="1" applyAlignment="1">
      <alignment horizontal="left" vertical="center"/>
    </xf>
    <xf numFmtId="0" fontId="20" fillId="19" borderId="0" xfId="0" applyFont="1" applyFill="1" applyAlignment="1">
      <alignment vertical="top" wrapText="1"/>
    </xf>
    <xf numFmtId="0" fontId="20" fillId="19" borderId="0" xfId="0" applyFont="1" applyFill="1" applyAlignment="1">
      <alignment horizontal="center" vertical="center"/>
    </xf>
    <xf numFmtId="0" fontId="20" fillId="19" borderId="0" xfId="0" applyFont="1" applyFill="1" applyAlignment="1">
      <alignment horizontal="center" vertical="center" wrapText="1"/>
    </xf>
    <xf numFmtId="0" fontId="20" fillId="20" borderId="0" xfId="0" applyFont="1" applyFill="1" applyAlignment="1">
      <alignment horizontal="center" vertical="center" wrapText="1"/>
    </xf>
    <xf numFmtId="0" fontId="20" fillId="29" borderId="0" xfId="0" applyFont="1" applyFill="1" applyAlignment="1">
      <alignment horizontal="center" vertical="center" wrapText="1"/>
    </xf>
    <xf numFmtId="0" fontId="33" fillId="21" borderId="0" xfId="0" applyFont="1" applyFill="1" applyAlignment="1">
      <alignment horizontal="center" vertical="center" wrapText="1"/>
    </xf>
    <xf numFmtId="0" fontId="16" fillId="31" borderId="17" xfId="0" applyFont="1" applyFill="1" applyBorder="1" applyAlignment="1">
      <alignment horizontal="center" vertical="center"/>
    </xf>
    <xf numFmtId="0" fontId="16" fillId="31" borderId="0" xfId="0" applyFont="1" applyFill="1" applyAlignment="1">
      <alignment horizontal="center" vertical="center"/>
    </xf>
    <xf numFmtId="0" fontId="16" fillId="31" borderId="18" xfId="0" applyFont="1" applyFill="1" applyBorder="1" applyAlignment="1">
      <alignment horizontal="center" vertical="center"/>
    </xf>
    <xf numFmtId="0" fontId="15" fillId="0" borderId="0" xfId="5" applyFill="1" applyAlignment="1">
      <alignment horizontal="center" vertical="center"/>
    </xf>
    <xf numFmtId="0" fontId="15" fillId="0" borderId="0" xfId="5" applyAlignment="1">
      <alignment horizontal="center" vertical="center"/>
    </xf>
    <xf numFmtId="9" fontId="42" fillId="9" borderId="0" xfId="6" applyFont="1" applyFill="1" applyAlignment="1">
      <alignment horizontal="center" vertical="center" wrapText="1"/>
    </xf>
    <xf numFmtId="0" fontId="42" fillId="9" borderId="0" xfId="0" applyFont="1" applyFill="1" applyAlignment="1">
      <alignment horizontal="center" vertical="center" wrapText="1"/>
    </xf>
    <xf numFmtId="0" fontId="20" fillId="29" borderId="0" xfId="0" applyFont="1" applyFill="1" applyAlignment="1">
      <alignment horizontal="left" vertical="center" wrapText="1"/>
    </xf>
    <xf numFmtId="0" fontId="21" fillId="29" borderId="0" xfId="0" applyFont="1" applyFill="1" applyAlignment="1">
      <alignment horizontal="left" vertical="center" wrapText="1"/>
    </xf>
    <xf numFmtId="0" fontId="21" fillId="29" borderId="0" xfId="0" applyFont="1" applyFill="1" applyAlignment="1">
      <alignment horizontal="center" vertical="center" wrapText="1"/>
    </xf>
    <xf numFmtId="0" fontId="22" fillId="6" borderId="1" xfId="0" applyFont="1" applyFill="1" applyBorder="1" applyAlignment="1">
      <alignment horizontal="center" vertical="center"/>
    </xf>
    <xf numFmtId="0" fontId="21" fillId="20" borderId="0" xfId="0" applyFont="1" applyFill="1" applyAlignment="1">
      <alignment horizontal="center" vertical="center" wrapText="1"/>
    </xf>
    <xf numFmtId="0" fontId="22" fillId="0" borderId="1" xfId="0" applyFont="1" applyBorder="1" applyAlignment="1">
      <alignment horizontal="center" vertical="center"/>
    </xf>
    <xf numFmtId="0" fontId="0" fillId="0" borderId="1" xfId="0" applyBorder="1" applyAlignment="1">
      <alignment horizontal="center" vertical="center"/>
    </xf>
    <xf numFmtId="0" fontId="23" fillId="6" borderId="1" xfId="0" applyFont="1" applyFill="1" applyBorder="1" applyAlignment="1">
      <alignment horizontal="center" vertical="center"/>
    </xf>
    <xf numFmtId="0" fontId="22" fillId="0" borderId="1" xfId="0" applyFont="1" applyBorder="1" applyAlignment="1">
      <alignment horizontal="center" vertical="center" wrapText="1"/>
    </xf>
    <xf numFmtId="0" fontId="22" fillId="0" borderId="1" xfId="0" applyFont="1" applyBorder="1" applyAlignment="1">
      <alignment horizontal="left" vertical="center"/>
    </xf>
    <xf numFmtId="0" fontId="22" fillId="6" borderId="1" xfId="0" applyFont="1" applyFill="1" applyBorder="1" applyAlignment="1">
      <alignment horizontal="left" vertical="center"/>
    </xf>
    <xf numFmtId="0" fontId="19" fillId="0" borderId="26" xfId="0" applyFont="1" applyBorder="1" applyAlignment="1">
      <alignment vertical="top" wrapText="1"/>
    </xf>
    <xf numFmtId="0" fontId="19" fillId="0" borderId="27" xfId="0" applyFont="1" applyBorder="1" applyAlignment="1">
      <alignment vertical="top" wrapText="1"/>
    </xf>
    <xf numFmtId="0" fontId="36" fillId="0" borderId="1" xfId="0" applyFont="1" applyBorder="1" applyAlignment="1">
      <alignment horizontal="left" vertical="center"/>
    </xf>
    <xf numFmtId="49" fontId="0" fillId="0" borderId="1" xfId="0" applyNumberFormat="1" applyBorder="1"/>
    <xf numFmtId="0" fontId="17" fillId="14" borderId="14" xfId="0" applyFont="1" applyFill="1" applyBorder="1" applyAlignment="1">
      <alignment horizontal="center" vertical="center"/>
    </xf>
    <xf numFmtId="0" fontId="17" fillId="14" borderId="15" xfId="0" applyFont="1" applyFill="1" applyBorder="1" applyAlignment="1">
      <alignment horizontal="center" vertical="center"/>
    </xf>
    <xf numFmtId="0" fontId="17" fillId="14" borderId="16" xfId="0" applyFont="1" applyFill="1" applyBorder="1" applyAlignment="1">
      <alignment horizontal="center" vertical="center"/>
    </xf>
    <xf numFmtId="0" fontId="17" fillId="31" borderId="14" xfId="0" applyFont="1" applyFill="1" applyBorder="1" applyAlignment="1">
      <alignment horizontal="center" vertical="center"/>
    </xf>
    <xf numFmtId="0" fontId="17" fillId="31" borderId="15" xfId="0" applyFont="1" applyFill="1" applyBorder="1" applyAlignment="1">
      <alignment horizontal="center" vertical="center"/>
    </xf>
    <xf numFmtId="0" fontId="17" fillId="31" borderId="16" xfId="0" applyFont="1" applyFill="1" applyBorder="1" applyAlignment="1">
      <alignment horizontal="center" vertical="center"/>
    </xf>
    <xf numFmtId="0" fontId="38" fillId="0" borderId="0" xfId="0" applyFont="1" applyAlignment="1">
      <alignment horizontal="center" vertical="top" wrapText="1"/>
    </xf>
    <xf numFmtId="0" fontId="22" fillId="0" borderId="1" xfId="0" applyFont="1" applyBorder="1" applyAlignment="1">
      <alignment horizontal="left" vertical="center" wrapText="1"/>
    </xf>
    <xf numFmtId="0" fontId="0" fillId="0" borderId="1" xfId="0" applyBorder="1" applyAlignment="1">
      <alignment horizontal="center" vertical="top"/>
    </xf>
    <xf numFmtId="0" fontId="5" fillId="0" borderId="1" xfId="0" applyFont="1" applyBorder="1" applyAlignment="1">
      <alignment horizontal="center" vertical="top" wrapText="1"/>
    </xf>
    <xf numFmtId="0" fontId="0" fillId="0" borderId="2"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vertical="top" wrapText="1"/>
    </xf>
  </cellXfs>
  <cellStyles count="7">
    <cellStyle name="Hyperlink" xfId="5" builtinId="8"/>
    <cellStyle name="Normal" xfId="0" builtinId="0"/>
    <cellStyle name="Normal 11" xfId="3" xr:uid="{00000000-0005-0000-0000-000002000000}"/>
    <cellStyle name="Normal 2" xfId="1" xr:uid="{00000000-0005-0000-0000-000003000000}"/>
    <cellStyle name="Normal 24" xfId="4" xr:uid="{BBA23619-6092-E943-9A60-5B8B506B5D1A}"/>
    <cellStyle name="Normal 9" xfId="2" xr:uid="{00000000-0005-0000-0000-000004000000}"/>
    <cellStyle name="Percent" xfId="6" builtinId="5"/>
  </cellStyles>
  <dxfs count="21">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1" defaultTableStyle="TableStyleMedium2" defaultPivotStyle="PivotStyleLight16">
    <tableStyle name="Invisible" pivot="0" table="0" count="0" xr9:uid="{34B98D9C-8797-45E9-BAD3-31ABD69FEA0B}"/>
  </tableStyles>
  <colors>
    <mruColors>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xdr:row>
      <xdr:rowOff>138296</xdr:rowOff>
    </xdr:from>
    <xdr:to>
      <xdr:col>15</xdr:col>
      <xdr:colOff>245073</xdr:colOff>
      <xdr:row>32</xdr:row>
      <xdr:rowOff>164950</xdr:rowOff>
    </xdr:to>
    <xdr:pic>
      <xdr:nvPicPr>
        <xdr:cNvPr id="3" name="Grafik 2">
          <a:extLst>
            <a:ext uri="{FF2B5EF4-FFF2-40B4-BE49-F238E27FC236}">
              <a16:creationId xmlns:a16="http://schemas.microsoft.com/office/drawing/2014/main" id="{BFAFE3A2-1717-4346-A1DD-B890D265B02C}"/>
            </a:ext>
          </a:extLst>
        </xdr:cNvPr>
        <xdr:cNvPicPr>
          <a:picLocks noChangeAspect="1"/>
        </xdr:cNvPicPr>
      </xdr:nvPicPr>
      <xdr:blipFill>
        <a:blip xmlns:r="http://schemas.openxmlformats.org/officeDocument/2006/relationships" r:embed="rId1"/>
        <a:stretch>
          <a:fillRect/>
        </a:stretch>
      </xdr:blipFill>
      <xdr:spPr>
        <a:xfrm>
          <a:off x="198120" y="4877936"/>
          <a:ext cx="7909560" cy="423289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Aflac/Example%20Documents/WoW%20PAS%20CBA%20Model%20-%20v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ymcdn.com/Users/E09389/Desktop/CBA%20Models/Most%20Current%20Models/Claims%20CBA%20(E2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Product%20Admin%20System%20CBA%20(UPDAT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ymcdn.com/Users/gatandon/AppData/Local/Microsoft/Windows/Temporary%20Internet%20Files/Content.Outlook/QU0DTINP/Aflac_CBA_Growth_v7%2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Aflac/CBA/Aflac%20CBA_20120926_v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sheetName val="Dashboard"/>
      <sheetName val="Calculations"/>
      <sheetName val="Cost Input"/>
      <sheetName val="Benefit Input"/>
      <sheetName val="Dashboard Input"/>
      <sheetName val="Benefits Overview"/>
      <sheetName val="Costs Overview"/>
      <sheetName val="Cost Probabilities"/>
      <sheetName val="Benefit Probabilities"/>
      <sheetName val="Risk Input"/>
      <sheetName val="Summary"/>
      <sheetName val="One-Time &amp; Imp. Cost Summary"/>
      <sheetName val="Infrastructure Costs"/>
      <sheetName val="B-I - HW,SW"/>
      <sheetName val="B-II - Bus Tech"/>
      <sheetName val="B-III - Core Ops"/>
      <sheetName val="B-IV - All Else"/>
      <sheetName val="B-V - PAS Last"/>
      <sheetName val="BEN-VI - Intangible"/>
      <sheetName val="C-I - Bus Tech"/>
      <sheetName val="C-II - Core Ops"/>
      <sheetName val="C-III - Actuary"/>
      <sheetName val="C-IV - Other Recurring"/>
      <sheetName val="C-V - Other Emp Costs"/>
      <sheetName val="V - CSC"/>
      <sheetName val="V - se2"/>
      <sheetName val="InfoMcC Pricing Summary"/>
      <sheetName val="VENDOR - Infosys-McC"/>
      <sheetName val="DB - Departments"/>
      <sheetName val="DB - Rates, Emp Costs"/>
      <sheetName val="DB - Cert Growth"/>
      <sheetName val="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
      <sheetName val="Dashboard"/>
      <sheetName val="Breakeven Point"/>
      <sheetName val="Growth Chart"/>
      <sheetName val="Summary of Benefits"/>
      <sheetName val="Stacked Benefits"/>
      <sheetName val="Summary of Costs"/>
      <sheetName val="NPV Gap"/>
      <sheetName val="NPV Gap (2)"/>
      <sheetName val="Hardware and Software"/>
      <sheetName val="Hardware Costs"/>
      <sheetName val="Claims Solution Implementation"/>
      <sheetName val="Fineos RFP Assumptions"/>
      <sheetName val="Legacy System Change"/>
      <sheetName val="Integration Assumptions"/>
      <sheetName val="Ongoing Costs"/>
      <sheetName val="C-I_Grp"/>
      <sheetName val="C-II_Grp"/>
      <sheetName val="C-III_Grp"/>
      <sheetName val="C-IV_Grp"/>
      <sheetName val="C-V_Grp"/>
      <sheetName val="C-I_Ind"/>
      <sheetName val="C-II_Ind"/>
      <sheetName val="C-III_Ind"/>
      <sheetName val="C-IV_Ind"/>
      <sheetName val="C-V_Ind"/>
      <sheetName val="C-VI_Ind"/>
      <sheetName val="C-VII_Ind"/>
      <sheetName val="C-VIII_Ind"/>
      <sheetName val="C-IX_Ind"/>
      <sheetName val="C-Pended_Ind"/>
      <sheetName val="C-X_Ind"/>
      <sheetName val="C-XI_Ind"/>
      <sheetName val="C-XII_Ind"/>
      <sheetName val="C-XIII_Ind"/>
      <sheetName val="Aflac_10K"/>
      <sheetName val="Benefit Descriptions (2)"/>
      <sheetName val="WACC"/>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Dashboard"/>
      <sheetName val="Contents"/>
      <sheetName val="Exec Summary"/>
      <sheetName val="Financial Summary"/>
      <sheetName val="Decision Summary"/>
      <sheetName val="Implementation Costs"/>
      <sheetName val="Imp Resource Cost"/>
      <sheetName val="Current Support Costs"/>
      <sheetName val="IT Support Benefits"/>
      <sheetName val="Change Mgmt Costs"/>
      <sheetName val="Benefits Summary - High"/>
      <sheetName val="Benefits Summary"/>
      <sheetName val="Assumptions"/>
      <sheetName val="Process Benefits Summary - Low"/>
      <sheetName val="Benefit Sum Decision1 - High"/>
      <sheetName val="Benefit Sum Decision1"/>
      <sheetName val="1. Reduce Prod Dev Costs"/>
      <sheetName val="2. Reduce Cost of Reg Proj"/>
      <sheetName val="3. Reduce Cost of Invst Changes"/>
      <sheetName val="4. Reduce Interface Costs"/>
      <sheetName val="5. LifeComm Data Entry"/>
      <sheetName val="5. Increase Issue Automation"/>
      <sheetName val="6. Reduce manual workarounds"/>
      <sheetName val="7. Reduce System Error Costs"/>
      <sheetName val="8. Stimulate Growth"/>
      <sheetName val="9. Reduce Errors Imptg Members"/>
      <sheetName val="10. Reduce Integration Effort"/>
      <sheetName val="Project Costs Reference"/>
      <sheetName val="Project Costs Pivot"/>
      <sheetName val="VA 2005"/>
      <sheetName val="Compliance Information"/>
      <sheetName val="Projects List"/>
      <sheetName val="Release Schedule"/>
      <sheetName val="Auto Underwriting"/>
      <sheetName val="wmA Summary"/>
      <sheetName val="nbA Summary"/>
      <sheetName val="wmA Interface Costing Model"/>
      <sheetName val="Annual Support"/>
      <sheetName val="Conv Support"/>
      <sheetName val="Conv Summary"/>
      <sheetName val="HWSW - Total Cost"/>
      <sheetName val="HWSW - Assumptions"/>
      <sheetName val="HWSW - Questions"/>
      <sheetName val="HWSW - Hardware"/>
      <sheetName val="HWSW - Software"/>
      <sheetName val="HWSW - Mainframe"/>
      <sheetName val="HWSW - Misc"/>
      <sheetName val="NIIT"/>
      <sheetName val="CSC"/>
      <sheetName val="Cognizan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
      <sheetName val="Dashboard"/>
      <sheetName val="Breakeven Point"/>
      <sheetName val="Cost of Delay"/>
      <sheetName val="Summary of Benefits"/>
      <sheetName val="Summary of Costs"/>
      <sheetName val="B-I_Grp"/>
      <sheetName val="Jeanne Shepard"/>
      <sheetName val="Group Defection Summary"/>
      <sheetName val="Group Retention Data"/>
      <sheetName val="B-II_Grp"/>
      <sheetName val="B-III_Grp"/>
      <sheetName val="B-I_Ind"/>
      <sheetName val="BancTec"/>
      <sheetName val="B-II_Ind"/>
      <sheetName val="B-III_Ind"/>
      <sheetName val="B-IV_Ind"/>
      <sheetName val="Payment Processing"/>
      <sheetName val="B-V_Ind"/>
      <sheetName val="B-VI_Ind"/>
      <sheetName val="B-VII_Ind"/>
      <sheetName val="B-VIII_Ind"/>
      <sheetName val="B-IX_Ind"/>
      <sheetName val="Aflac_10K"/>
      <sheetName val="Hardware and Software"/>
      <sheetName val="Billing Solution Implementation"/>
      <sheetName val="Legacy System Change"/>
      <sheetName val="Ongoing Costs"/>
      <sheetName val="Benefit Descriptions"/>
      <sheetName val="Benefit Run Rate Waterfall"/>
      <sheetName val="NPV Gap"/>
      <sheetName val="NPV Scenarios"/>
      <sheetName val="WAC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sheetName val="Data Request"/>
      <sheetName val="Benefit Summary"/>
      <sheetName val="Benefit Summary (2)"/>
      <sheetName val="B-I - Group"/>
      <sheetName val="Jeanne Shepard"/>
      <sheetName val="B-II - Ind Ops"/>
      <sheetName val="B-III - Fin"/>
      <sheetName val="Aflac_10K"/>
      <sheetName val="B-IV - Mktg"/>
      <sheetName val="B-V - IT"/>
      <sheetName val="Cost Summary"/>
      <sheetName val="Planning and Mobilization"/>
      <sheetName val="Hardware and Software"/>
      <sheetName val="Implementation"/>
      <sheetName val="Other One-time"/>
      <sheetName val="External Vendor Support"/>
      <sheetName val="Internal Vendor Support"/>
      <sheetName val="Software Upgra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persons/person.xml><?xml version="1.0" encoding="utf-8"?>
<personList xmlns="http://schemas.microsoft.com/office/spreadsheetml/2018/threadedcomments" xmlns:x="http://schemas.openxmlformats.org/spreadsheetml/2006/main">
  <person displayName="Chortikoglou, Dimi (GBS P2P SC)" id="{390E774D-69B8-4035-832C-95B96F30263E}" userId="S::dimitrios.chortikoglou@siemens.com::67268aa8-cdcd-4fbd-841b-5a2a6418c63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9" dT="2023-09-29T00:41:18.71" personId="{390E774D-69B8-4035-832C-95B96F30263E}" id="{FB323F3B-57BA-49FB-88C6-D6558F659333}">
    <text>Hier stellt sich die Frage nach dem Leading system im Falle von Änderungen</text>
  </threadedComment>
  <threadedComment ref="K10" dT="2023-09-29T00:41:32.74" personId="{390E774D-69B8-4035-832C-95B96F30263E}" id="{012EDAE9-AF55-4235-82DE-ADC494B2BB2B}">
    <text>Hier stellt sich die Frage nach dem Leading system im Falle von Änderungen</text>
  </threadedComment>
  <threadedComment ref="K12" dT="2023-09-29T00:39:53.50" personId="{390E774D-69B8-4035-832C-95B96F30263E}" id="{5A88B95B-E6FC-40F3-BB7B-A5D72A72D817}">
    <text>Wäre das eine Anforderung von uns. Das kam damals von den Ländern?</text>
  </threadedComment>
  <threadedComment ref="K14" dT="2023-09-29T00:39:17.58" personId="{390E774D-69B8-4035-832C-95B96F30263E}" id="{6DC0505C-5535-4466-8E16-A60FE481C793}">
    <text>Sollte eigentlich nicht mehr der USer entscheiden, sondern zentral definiert sein?</text>
  </threadedComment>
  <threadedComment ref="K16" dT="2023-09-29T00:40:44.91" personId="{390E774D-69B8-4035-832C-95B96F30263E}" id="{69614DE5-D9A2-4817-B3C7-4587BD4CF7F6}">
    <text>Das war schon immer gelebter Usus, aber bin mir nicht sicher, ob das eine Anforderung sein sollte</text>
  </threadedComment>
</ThreadedComments>
</file>

<file path=xl/threadedComments/threadedComment2.xml><?xml version="1.0" encoding="utf-8"?>
<ThreadedComments xmlns="http://schemas.microsoft.com/office/spreadsheetml/2018/threadedcomments" xmlns:x="http://schemas.openxmlformats.org/spreadsheetml/2006/main">
  <threadedComment ref="K3" dT="2023-09-29T00:50:45.09" personId="{390E774D-69B8-4035-832C-95B96F30263E}" id="{63E3BF35-D51F-41DC-A078-4FCE13355B61}">
    <text>Anforderung kam von Tax. Sollen wir solche bekannten Anforderungen schon integrieren?</text>
  </threadedComment>
</ThreadedComments>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9.bin"/><Relationship Id="rId2" Type="http://schemas.openxmlformats.org/officeDocument/2006/relationships/customProperty" Target="../customProperty8.bin"/><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3.bin"/><Relationship Id="rId2" Type="http://schemas.openxmlformats.org/officeDocument/2006/relationships/customProperty" Target="../customProperty12.bin"/><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customProperty" Target="../customProperty14.bin"/><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customProperty" Target="../customProperty17.bin"/><Relationship Id="rId2" Type="http://schemas.openxmlformats.org/officeDocument/2006/relationships/customProperty" Target="../customProperty16.bin"/><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ustomProperty" Target="../customProperty19.bin"/><Relationship Id="rId2" Type="http://schemas.openxmlformats.org/officeDocument/2006/relationships/customProperty" Target="../customProperty18.bin"/><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customProperty" Target="../customProperty21.bin"/><Relationship Id="rId2" Type="http://schemas.openxmlformats.org/officeDocument/2006/relationships/customProperty" Target="../customProperty20.bin"/><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customProperty" Target="../customProperty23.bin"/><Relationship Id="rId2" Type="http://schemas.openxmlformats.org/officeDocument/2006/relationships/customProperty" Target="../customProperty22.bin"/><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customProperty" Target="../customProperty2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25.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27.bin"/><Relationship Id="rId1" Type="http://schemas.openxmlformats.org/officeDocument/2006/relationships/customProperty" Target="../customProperty26.bin"/></Relationships>
</file>

<file path=xl/worksheets/_rels/sheet17.xml.rels><?xml version="1.0" encoding="UTF-8" standalone="yes"?>
<Relationships xmlns="http://schemas.openxmlformats.org/package/2006/relationships"><Relationship Id="rId2" Type="http://schemas.openxmlformats.org/officeDocument/2006/relationships/customProperty" Target="../customProperty29.bin"/><Relationship Id="rId1" Type="http://schemas.openxmlformats.org/officeDocument/2006/relationships/customProperty" Target="../customProperty28.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31.bin"/><Relationship Id="rId1" Type="http://schemas.openxmlformats.org/officeDocument/2006/relationships/customProperty" Target="../customProperty30.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33.bin"/><Relationship Id="rId1" Type="http://schemas.openxmlformats.org/officeDocument/2006/relationships/customProperty" Target="../customProperty3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20.xml.rels><?xml version="1.0" encoding="UTF-8" standalone="yes"?>
<Relationships xmlns="http://schemas.openxmlformats.org/package/2006/relationships"><Relationship Id="rId3" Type="http://schemas.openxmlformats.org/officeDocument/2006/relationships/customProperty" Target="../customProperty35.bin"/><Relationship Id="rId2" Type="http://schemas.openxmlformats.org/officeDocument/2006/relationships/customProperty" Target="../customProperty34.bin"/><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D6F5-1A0E-4BF4-A01D-D81574CF86EC}">
  <dimension ref="A1:R25"/>
  <sheetViews>
    <sheetView tabSelected="1" zoomScale="85" zoomScaleNormal="85" workbookViewId="0">
      <selection activeCell="E31" sqref="E31"/>
    </sheetView>
  </sheetViews>
  <sheetFormatPr defaultColWidth="8.7265625" defaultRowHeight="14.5" x14ac:dyDescent="0.35"/>
  <cols>
    <col min="1" max="1" width="5.7265625" style="34" customWidth="1"/>
    <col min="2" max="2" width="10.7265625" style="31" customWidth="1"/>
    <col min="3" max="3" width="30.7265625" style="31" bestFit="1" customWidth="1"/>
    <col min="4" max="4" width="31.81640625" style="31" bestFit="1" customWidth="1"/>
    <col min="5" max="5" width="52.453125" style="31" bestFit="1" customWidth="1"/>
    <col min="6" max="6" width="5.26953125" style="34" customWidth="1"/>
    <col min="7" max="7" width="11" style="34" bestFit="1" customWidth="1"/>
    <col min="8" max="8" width="15.26953125" style="34" bestFit="1" customWidth="1"/>
    <col min="9" max="16" width="15" style="34" customWidth="1"/>
    <col min="17" max="17" width="9.7265625" style="34" bestFit="1" customWidth="1"/>
    <col min="18" max="18" width="10.54296875" style="31" bestFit="1" customWidth="1"/>
    <col min="19" max="16384" width="8.7265625" style="31"/>
  </cols>
  <sheetData>
    <row r="1" spans="1:18" ht="15.5" x14ac:dyDescent="0.35">
      <c r="I1" s="183" t="s">
        <v>35</v>
      </c>
      <c r="J1" s="184"/>
      <c r="K1" s="184"/>
      <c r="L1" s="184"/>
      <c r="M1" s="185"/>
      <c r="N1" s="186" t="s">
        <v>1196</v>
      </c>
      <c r="O1" s="187"/>
      <c r="P1" s="188"/>
    </row>
    <row r="2" spans="1:18" ht="15.5" x14ac:dyDescent="0.35">
      <c r="A2" s="52" t="s">
        <v>0</v>
      </c>
      <c r="B2" s="53" t="s">
        <v>1</v>
      </c>
      <c r="C2" s="53" t="s">
        <v>2</v>
      </c>
      <c r="D2" s="53" t="s">
        <v>3</v>
      </c>
      <c r="E2" s="53" t="s">
        <v>4</v>
      </c>
      <c r="F2" s="64" t="s">
        <v>1197</v>
      </c>
      <c r="G2" s="64" t="s">
        <v>5</v>
      </c>
      <c r="H2" s="167" t="s">
        <v>1007</v>
      </c>
      <c r="I2" s="124" t="s">
        <v>987</v>
      </c>
      <c r="J2" s="126" t="s">
        <v>988</v>
      </c>
      <c r="K2" s="126" t="s">
        <v>989</v>
      </c>
      <c r="L2" s="126" t="s">
        <v>990</v>
      </c>
      <c r="M2" s="125" t="s">
        <v>991</v>
      </c>
      <c r="N2" s="161" t="s">
        <v>1049</v>
      </c>
      <c r="O2" s="162" t="s">
        <v>1048</v>
      </c>
      <c r="P2" s="163" t="s">
        <v>1165</v>
      </c>
      <c r="Q2" s="167" t="s">
        <v>1012</v>
      </c>
      <c r="R2" s="30" t="s">
        <v>6</v>
      </c>
    </row>
    <row r="3" spans="1:18" x14ac:dyDescent="0.35">
      <c r="A3" s="51">
        <v>1</v>
      </c>
      <c r="B3" s="51" t="s">
        <v>7</v>
      </c>
      <c r="C3" s="54" t="s">
        <v>8</v>
      </c>
      <c r="D3" s="54" t="s">
        <v>9</v>
      </c>
      <c r="E3" s="54" t="s">
        <v>10</v>
      </c>
      <c r="F3" s="164">
        <v>2.1</v>
      </c>
      <c r="G3" s="51" t="s">
        <v>415</v>
      </c>
      <c r="H3" s="51">
        <f>SUM(Overview!I3:M3)</f>
        <v>13</v>
      </c>
      <c r="I3" s="128">
        <f>COUNTIF('2.1'!$Q:$Q,I2)</f>
        <v>1</v>
      </c>
      <c r="J3" s="51">
        <f>COUNTIF('2.1'!$Q:$Q,J2)</f>
        <v>5</v>
      </c>
      <c r="K3" s="51">
        <f>COUNTIF('2.1'!$Q:$Q,K2)</f>
        <v>2</v>
      </c>
      <c r="L3" s="51">
        <f>COUNTIF('2.1'!$Q:$Q,L2)</f>
        <v>4</v>
      </c>
      <c r="M3" s="129">
        <f>COUNTIF('2.1'!$Q:$Q,M2)</f>
        <v>1</v>
      </c>
      <c r="N3" s="128">
        <f>COUNTIF('2.1'!$P:$P,N2)</f>
        <v>8</v>
      </c>
      <c r="O3" s="51">
        <f>COUNTIF('2.1'!$P:$P,O2)</f>
        <v>3</v>
      </c>
      <c r="P3" s="129">
        <f>COUNTIF('2.1'!$P:$P,P2)</f>
        <v>0</v>
      </c>
      <c r="Q3" s="127"/>
    </row>
    <row r="4" spans="1:18" x14ac:dyDescent="0.35">
      <c r="A4" s="50">
        <v>2</v>
      </c>
      <c r="B4" s="50" t="s">
        <v>7</v>
      </c>
      <c r="C4" s="55" t="s">
        <v>8</v>
      </c>
      <c r="D4" s="55" t="s">
        <v>9</v>
      </c>
      <c r="E4" s="55" t="s">
        <v>12</v>
      </c>
      <c r="F4" s="164">
        <v>2.2000000000000002</v>
      </c>
      <c r="G4" s="50" t="s">
        <v>415</v>
      </c>
      <c r="H4" s="50">
        <f>SUM(Overview!I4:M4)</f>
        <v>11</v>
      </c>
      <c r="I4" s="130">
        <f>COUNTIF('2.2'!$Q:$Q,I2)</f>
        <v>1</v>
      </c>
      <c r="J4" s="50">
        <f>COUNTIF('2.2'!$Q:$Q,J2)</f>
        <v>6</v>
      </c>
      <c r="K4" s="50">
        <f>COUNTIF('2.2'!$Q:$Q,K2)</f>
        <v>0</v>
      </c>
      <c r="L4" s="50">
        <f>COUNTIF('2.2'!$Q:$Q,L2)</f>
        <v>4</v>
      </c>
      <c r="M4" s="131">
        <f>COUNTIF('2.2'!$Q:$Q,M2)</f>
        <v>0</v>
      </c>
      <c r="N4" s="130">
        <f>COUNTIF('2.2'!$P:$P,N2)</f>
        <v>9</v>
      </c>
      <c r="O4" s="50">
        <f>COUNTIF('2.2'!$P:$P,O2)</f>
        <v>1</v>
      </c>
      <c r="P4" s="131">
        <f>COUNTIF('2.2'!$P:$P,P2)</f>
        <v>0</v>
      </c>
      <c r="Q4" s="44"/>
    </row>
    <row r="5" spans="1:18" x14ac:dyDescent="0.35">
      <c r="A5" s="49">
        <v>3</v>
      </c>
      <c r="B5" s="49" t="s">
        <v>7</v>
      </c>
      <c r="C5" s="56" t="s">
        <v>8</v>
      </c>
      <c r="D5" s="56" t="s">
        <v>13</v>
      </c>
      <c r="E5" s="56" t="s">
        <v>14</v>
      </c>
      <c r="F5" s="165">
        <v>3.1</v>
      </c>
      <c r="G5" s="49" t="s">
        <v>415</v>
      </c>
      <c r="H5" s="49">
        <f>SUM(I5:M5)</f>
        <v>12</v>
      </c>
      <c r="I5" s="132">
        <f>COUNTIF('3.1'!$Q:$Q,I2)</f>
        <v>2</v>
      </c>
      <c r="J5" s="49">
        <f>COUNTIF('3.1'!$Q:$Q,J2)</f>
        <v>4</v>
      </c>
      <c r="K5" s="49">
        <f>COUNTIF('3.1'!$Q:$Q,K2)</f>
        <v>2</v>
      </c>
      <c r="L5" s="49">
        <f>COUNTIF('3.1'!$Q:$Q,L2)</f>
        <v>4</v>
      </c>
      <c r="M5" s="133">
        <f>COUNTIF('3.1'!$Q:$Q,M2)</f>
        <v>0</v>
      </c>
      <c r="N5" s="132">
        <f>COUNTIF('3.1'!$P:$P,N2)</f>
        <v>6</v>
      </c>
      <c r="O5" s="49">
        <f>COUNTIF('3.1'!$P:$P,O2)</f>
        <v>5</v>
      </c>
      <c r="P5" s="133">
        <f>COUNTIF('3.1'!$P:$P,P2)</f>
        <v>1</v>
      </c>
      <c r="Q5" s="127"/>
    </row>
    <row r="6" spans="1:18" x14ac:dyDescent="0.35">
      <c r="A6" s="50">
        <v>4</v>
      </c>
      <c r="B6" s="50" t="s">
        <v>7</v>
      </c>
      <c r="C6" s="55" t="s">
        <v>8</v>
      </c>
      <c r="D6" s="55" t="s">
        <v>13</v>
      </c>
      <c r="E6" s="55" t="s">
        <v>15</v>
      </c>
      <c r="F6" s="165">
        <v>3.2</v>
      </c>
      <c r="G6" s="50" t="s">
        <v>415</v>
      </c>
      <c r="H6" s="50">
        <f>SUM(Overview!I6:M6)</f>
        <v>30</v>
      </c>
      <c r="I6" s="130">
        <f>COUNTIF('3.2'!$Q:$Q,I2)</f>
        <v>0</v>
      </c>
      <c r="J6" s="50">
        <f>COUNTIF('3.2'!$Q:$Q,J2)</f>
        <v>10</v>
      </c>
      <c r="K6" s="50">
        <f>COUNTIF('3.2'!$Q:$Q,K2)</f>
        <v>3</v>
      </c>
      <c r="L6" s="50">
        <f>COUNTIF('3.2'!$Q:$Q,L2)</f>
        <v>15</v>
      </c>
      <c r="M6" s="131">
        <f>COUNTIF('3.2'!$Q:$Q,M2)</f>
        <v>2</v>
      </c>
      <c r="N6" s="130">
        <f>COUNTIF('3.2'!$P:$P,N2)</f>
        <v>18</v>
      </c>
      <c r="O6" s="50">
        <f>COUNTIF('3.2'!$P:$P,O2)</f>
        <v>6</v>
      </c>
      <c r="P6" s="131">
        <f>COUNTIF('3.2'!$P:$P,P2)</f>
        <v>5</v>
      </c>
      <c r="Q6" s="44"/>
    </row>
    <row r="7" spans="1:18" x14ac:dyDescent="0.35">
      <c r="A7" s="49">
        <v>5</v>
      </c>
      <c r="B7" s="49" t="s">
        <v>7</v>
      </c>
      <c r="C7" s="56" t="s">
        <v>8</v>
      </c>
      <c r="D7" s="56" t="s">
        <v>16</v>
      </c>
      <c r="E7" s="56" t="s">
        <v>17</v>
      </c>
      <c r="F7" s="165">
        <v>3.3</v>
      </c>
      <c r="G7" s="49" t="s">
        <v>415</v>
      </c>
      <c r="H7" s="49">
        <f>SUM(Overview!I7:M7)</f>
        <v>12</v>
      </c>
      <c r="I7" s="132">
        <f>COUNTIF('3.3'!$Q:$Q,I2)</f>
        <v>1</v>
      </c>
      <c r="J7" s="49">
        <f>COUNTIF('3.3'!$Q:$Q,J2)</f>
        <v>2</v>
      </c>
      <c r="K7" s="49">
        <f>COUNTIF('3.3'!$Q:$Q,K2)</f>
        <v>4</v>
      </c>
      <c r="L7" s="49">
        <f>COUNTIF('3.3'!$Q:$Q,L2)</f>
        <v>4</v>
      </c>
      <c r="M7" s="133">
        <f>COUNTIF('3.3'!$Q:$Q,M2)</f>
        <v>1</v>
      </c>
      <c r="N7" s="132">
        <f>COUNTIF('3.3'!$P:$P,N2)</f>
        <v>9</v>
      </c>
      <c r="O7" s="49">
        <f>COUNTIF('3.3'!$P:$P,O2)</f>
        <v>3</v>
      </c>
      <c r="P7" s="133">
        <f>COUNTIF('3.3'!$P:$P,P2)</f>
        <v>0</v>
      </c>
      <c r="Q7" s="127"/>
    </row>
    <row r="8" spans="1:18" x14ac:dyDescent="0.35">
      <c r="A8" s="50">
        <v>6</v>
      </c>
      <c r="B8" s="50" t="s">
        <v>7</v>
      </c>
      <c r="C8" s="55" t="s">
        <v>8</v>
      </c>
      <c r="D8" s="55" t="s">
        <v>18</v>
      </c>
      <c r="E8" s="55" t="s">
        <v>1187</v>
      </c>
      <c r="F8" s="165">
        <v>4.0999999999999996</v>
      </c>
      <c r="G8" s="50" t="s">
        <v>415</v>
      </c>
      <c r="H8" s="50">
        <f>SUM(Overview!I8:M8)</f>
        <v>7</v>
      </c>
      <c r="I8" s="130">
        <f>COUNTIF('4.1'!$Q:$Q,I2)</f>
        <v>0</v>
      </c>
      <c r="J8" s="50">
        <f>COUNTIF('4.1'!$Q:$Q,J2)</f>
        <v>4</v>
      </c>
      <c r="K8" s="50">
        <f>COUNTIF('4.1'!$Q:$Q,K2)</f>
        <v>3</v>
      </c>
      <c r="L8" s="50">
        <f>COUNTIF('4.1'!$Q:$Q,L2)</f>
        <v>0</v>
      </c>
      <c r="M8" s="131">
        <f>COUNTIF('4.1'!$Q:$Q,M2)</f>
        <v>0</v>
      </c>
      <c r="N8" s="130">
        <f>COUNTIF('4.1'!$P:$P,N2)</f>
        <v>1</v>
      </c>
      <c r="O8" s="50">
        <f>COUNTIF('4.1'!$P:$P,O2)</f>
        <v>5</v>
      </c>
      <c r="P8" s="131">
        <f>COUNTIF('4.1'!$P:$P,P2)</f>
        <v>1</v>
      </c>
      <c r="Q8" s="44"/>
    </row>
    <row r="9" spans="1:18" x14ac:dyDescent="0.35">
      <c r="A9" s="49">
        <v>7</v>
      </c>
      <c r="B9" s="49" t="s">
        <v>7</v>
      </c>
      <c r="C9" s="56" t="s">
        <v>8</v>
      </c>
      <c r="D9" s="56" t="s">
        <v>18</v>
      </c>
      <c r="E9" s="56" t="s">
        <v>19</v>
      </c>
      <c r="F9" s="165">
        <v>4.2</v>
      </c>
      <c r="G9" s="49" t="s">
        <v>415</v>
      </c>
      <c r="H9" s="49">
        <f>SUM(Overview!I9:M9)</f>
        <v>1</v>
      </c>
      <c r="I9" s="132">
        <f>COUNTIF('4.2'!$Q:$Q,I2)</f>
        <v>0</v>
      </c>
      <c r="J9" s="49">
        <f>COUNTIF('4.2'!$Q:$Q,J2)</f>
        <v>1</v>
      </c>
      <c r="K9" s="49">
        <f>COUNTIF('4.2'!$Q:$Q,K2)</f>
        <v>0</v>
      </c>
      <c r="L9" s="49">
        <f>COUNTIF('4.2'!$Q:$Q,L2)</f>
        <v>0</v>
      </c>
      <c r="M9" s="133">
        <f>COUNTIF('4.2'!$Q:$Q,M2)</f>
        <v>0</v>
      </c>
      <c r="N9" s="132">
        <f>COUNTIF('4.2'!$P:$P,N2)</f>
        <v>1</v>
      </c>
      <c r="O9" s="49">
        <f>COUNTIF('4.2'!$P:$P,O2)</f>
        <v>0</v>
      </c>
      <c r="P9" s="133">
        <f>COUNTIF('4.2'!$P:$P,P2)</f>
        <v>0</v>
      </c>
      <c r="Q9" s="127"/>
    </row>
    <row r="10" spans="1:18" x14ac:dyDescent="0.35">
      <c r="A10" s="50">
        <v>8</v>
      </c>
      <c r="B10" s="50" t="s">
        <v>7</v>
      </c>
      <c r="C10" s="55" t="s">
        <v>8</v>
      </c>
      <c r="D10" s="55" t="s">
        <v>20</v>
      </c>
      <c r="E10" s="55" t="s">
        <v>21</v>
      </c>
      <c r="F10" s="165">
        <v>5.3</v>
      </c>
      <c r="G10" s="50" t="s">
        <v>32</v>
      </c>
      <c r="H10" s="50">
        <v>0</v>
      </c>
      <c r="I10" s="130"/>
      <c r="J10" s="50"/>
      <c r="K10" s="50"/>
      <c r="L10" s="50"/>
      <c r="M10" s="131"/>
      <c r="N10" s="130"/>
      <c r="O10" s="50"/>
      <c r="P10" s="131"/>
      <c r="Q10" s="44"/>
    </row>
    <row r="11" spans="1:18" x14ac:dyDescent="0.35">
      <c r="A11" s="49">
        <v>9</v>
      </c>
      <c r="B11" s="49" t="s">
        <v>7</v>
      </c>
      <c r="C11" s="56" t="s">
        <v>8</v>
      </c>
      <c r="D11" s="56" t="s">
        <v>20</v>
      </c>
      <c r="E11" s="56" t="s">
        <v>22</v>
      </c>
      <c r="F11" s="165">
        <v>5.4</v>
      </c>
      <c r="G11" s="49" t="s">
        <v>32</v>
      </c>
      <c r="H11" s="49">
        <v>0</v>
      </c>
      <c r="I11" s="132"/>
      <c r="J11" s="49"/>
      <c r="K11" s="49"/>
      <c r="L11" s="49"/>
      <c r="M11" s="133"/>
      <c r="N11" s="132"/>
      <c r="O11" s="49"/>
      <c r="P11" s="133"/>
      <c r="Q11" s="127"/>
    </row>
    <row r="12" spans="1:18" x14ac:dyDescent="0.35">
      <c r="A12" s="50">
        <v>10</v>
      </c>
      <c r="B12" s="50" t="s">
        <v>7</v>
      </c>
      <c r="C12" s="55" t="s">
        <v>8</v>
      </c>
      <c r="D12" s="55" t="s">
        <v>23</v>
      </c>
      <c r="E12" s="55" t="s">
        <v>24</v>
      </c>
      <c r="F12" s="165">
        <v>6.5</v>
      </c>
      <c r="G12" s="50" t="s">
        <v>32</v>
      </c>
      <c r="H12" s="50">
        <v>0</v>
      </c>
      <c r="I12" s="130"/>
      <c r="J12" s="50"/>
      <c r="K12" s="50"/>
      <c r="L12" s="50"/>
      <c r="M12" s="131"/>
      <c r="N12" s="130"/>
      <c r="O12" s="50"/>
      <c r="P12" s="131"/>
      <c r="Q12" s="44"/>
    </row>
    <row r="13" spans="1:18" x14ac:dyDescent="0.35">
      <c r="A13" s="49">
        <v>11</v>
      </c>
      <c r="B13" s="49" t="s">
        <v>7</v>
      </c>
      <c r="C13" s="56"/>
      <c r="D13" s="56"/>
      <c r="E13" s="56"/>
      <c r="F13" s="165" t="s">
        <v>11</v>
      </c>
      <c r="G13" s="49"/>
      <c r="H13" s="49"/>
      <c r="I13" s="132"/>
      <c r="J13" s="49"/>
      <c r="K13" s="49"/>
      <c r="L13" s="49"/>
      <c r="M13" s="133"/>
      <c r="N13" s="132"/>
      <c r="O13" s="49"/>
      <c r="P13" s="133"/>
      <c r="Q13" s="127"/>
    </row>
    <row r="14" spans="1:18" x14ac:dyDescent="0.35">
      <c r="A14" s="50">
        <v>12</v>
      </c>
      <c r="B14" s="50" t="s">
        <v>7</v>
      </c>
      <c r="C14" s="55"/>
      <c r="D14" s="55"/>
      <c r="E14" s="55"/>
      <c r="F14" s="165" t="s">
        <v>11</v>
      </c>
      <c r="G14" s="50"/>
      <c r="H14" s="50"/>
      <c r="I14" s="130"/>
      <c r="J14" s="50"/>
      <c r="K14" s="50"/>
      <c r="L14" s="50"/>
      <c r="M14" s="131"/>
      <c r="N14" s="130"/>
      <c r="O14" s="50"/>
      <c r="P14" s="131"/>
      <c r="Q14" s="44"/>
    </row>
    <row r="15" spans="1:18" ht="16" thickBot="1" x14ac:dyDescent="0.4">
      <c r="A15" s="44"/>
      <c r="B15" s="44"/>
      <c r="C15" s="96"/>
      <c r="D15" s="96"/>
      <c r="E15" s="96"/>
      <c r="F15" s="165"/>
      <c r="G15" s="44"/>
      <c r="H15" s="167">
        <f t="shared" ref="H15:M15" si="0">SUM(H3:H14)</f>
        <v>86</v>
      </c>
      <c r="I15" s="134">
        <f>SUM(I3:I14)</f>
        <v>5</v>
      </c>
      <c r="J15" s="135">
        <f t="shared" si="0"/>
        <v>32</v>
      </c>
      <c r="K15" s="135">
        <f t="shared" si="0"/>
        <v>14</v>
      </c>
      <c r="L15" s="135">
        <f>SUM(L3:L14)</f>
        <v>31</v>
      </c>
      <c r="M15" s="136">
        <f t="shared" si="0"/>
        <v>4</v>
      </c>
      <c r="N15" s="134">
        <f>SUM(N3:N14)</f>
        <v>52</v>
      </c>
      <c r="O15" s="135">
        <f>SUM(O3:O14)</f>
        <v>23</v>
      </c>
      <c r="P15" s="136">
        <f>SUM(P3:P14)</f>
        <v>7</v>
      </c>
      <c r="Q15" s="166">
        <f>(H15-I15)/H15</f>
        <v>0.94186046511627908</v>
      </c>
    </row>
    <row r="17" spans="1:18" x14ac:dyDescent="0.35">
      <c r="A17" s="40"/>
      <c r="B17" s="41"/>
      <c r="C17" s="41"/>
      <c r="D17" s="41"/>
      <c r="E17" s="41"/>
      <c r="F17" s="40"/>
      <c r="G17" s="40"/>
      <c r="H17" s="40"/>
      <c r="I17" s="40"/>
      <c r="J17" s="40"/>
      <c r="K17" s="40"/>
      <c r="L17" s="40"/>
      <c r="M17" s="40"/>
      <c r="N17" s="40"/>
      <c r="O17" s="40"/>
      <c r="P17" s="40"/>
      <c r="Q17" s="40"/>
      <c r="R17" s="41"/>
    </row>
    <row r="18" spans="1:18" x14ac:dyDescent="0.35">
      <c r="B18" s="32" t="s">
        <v>25</v>
      </c>
    </row>
    <row r="19" spans="1:18" x14ac:dyDescent="0.35">
      <c r="B19" s="32" t="s">
        <v>26</v>
      </c>
    </row>
    <row r="21" spans="1:18" x14ac:dyDescent="0.35">
      <c r="A21" s="123" t="s">
        <v>27</v>
      </c>
      <c r="B21" s="41"/>
      <c r="C21" s="41"/>
      <c r="D21" s="41"/>
      <c r="E21" s="41"/>
      <c r="F21" s="40"/>
      <c r="G21" s="40"/>
      <c r="H21" s="40"/>
      <c r="I21" s="40"/>
      <c r="J21" s="40"/>
      <c r="K21" s="40"/>
      <c r="L21" s="40"/>
      <c r="M21" s="40"/>
      <c r="N21" s="40"/>
      <c r="O21" s="40"/>
      <c r="P21" s="40"/>
      <c r="Q21" s="40"/>
      <c r="R21" s="41"/>
    </row>
    <row r="22" spans="1:18" x14ac:dyDescent="0.35">
      <c r="A22" s="34">
        <v>1</v>
      </c>
      <c r="B22" s="31" t="s">
        <v>28</v>
      </c>
    </row>
    <row r="23" spans="1:18" x14ac:dyDescent="0.35">
      <c r="A23" s="34">
        <v>2</v>
      </c>
      <c r="B23" s="31" t="s">
        <v>29</v>
      </c>
    </row>
    <row r="24" spans="1:18" x14ac:dyDescent="0.35">
      <c r="A24" s="34">
        <v>3</v>
      </c>
      <c r="B24" s="31" t="s">
        <v>30</v>
      </c>
    </row>
    <row r="25" spans="1:18" x14ac:dyDescent="0.35">
      <c r="A25" s="34">
        <v>4</v>
      </c>
      <c r="B25" s="31" t="s">
        <v>31</v>
      </c>
    </row>
  </sheetData>
  <mergeCells count="2">
    <mergeCell ref="I1:M1"/>
    <mergeCell ref="N1:P1"/>
  </mergeCells>
  <hyperlinks>
    <hyperlink ref="F3" location="'2.1'!A1" display="here" xr:uid="{4DB6EE0E-843E-45FA-BABE-1FD78E0A4BB2}"/>
    <hyperlink ref="F4" location="'2.2'!A1" display="here" xr:uid="{9973AEA5-FFC9-4F91-88F1-F5D441FAA13F}"/>
    <hyperlink ref="F5" location="'3.1'!A1" display="here" xr:uid="{4A8C3F04-629C-43C9-AD36-9289005425D0}"/>
    <hyperlink ref="F6" location="'3.2'!A1" display="here" xr:uid="{FC106838-791C-4232-859F-BA630800B6C3}"/>
    <hyperlink ref="F7" location="'3.3'!A1" display="here" xr:uid="{9E9A5044-D433-4776-9BBE-5BA539A57152}"/>
    <hyperlink ref="F8" location="'4.1'!A1" display="here" xr:uid="{B4A0AF7A-5F07-4ACF-A6A6-E1F73248937F}"/>
    <hyperlink ref="F9" location="'4.2'!A1" display="here" xr:uid="{F5E5CBE3-F364-436E-A182-0FE1F0A83F19}"/>
    <hyperlink ref="F10" location="'5.3'!A1" display="here" xr:uid="{A748D914-D49D-4BBD-91E6-6DF0DB8E7D6B}"/>
    <hyperlink ref="F11" location="'5.4'!A1" display="here" xr:uid="{073415FE-D402-4743-812B-374224ACCFD8}"/>
    <hyperlink ref="F12" location="'6.5'!A1" display="here" xr:uid="{D955CEF8-6893-4181-AAEA-EF179C4D81F7}"/>
    <hyperlink ref="F13" location="'11'!A1" display="here" xr:uid="{367B7F2F-7D55-4F32-93DD-56A04B660902}"/>
    <hyperlink ref="F14" location="'12'!A1" display="here" xr:uid="{03FC6065-7729-444C-A5C5-94A98C49704D}"/>
    <hyperlink ref="B18" location="'Role Definition'!A1" display="Role definition" xr:uid="{8A62AB7D-5AA8-4800-A534-8BFAEA6E479B}"/>
    <hyperlink ref="B19" location="'Planning Overview'!A1" display="Planning overview" xr:uid="{75D15DD5-7B5E-4BE0-9BF0-1FD069A248CA}"/>
  </hyperlinks>
  <pageMargins left="0.7" right="0.7" top="0.75" bottom="0.75" header="0.3" footer="0.3"/>
  <customProperties>
    <customPr name="_pios_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1EDAC-4AE8-4A39-8070-385C0A3352CA}">
  <sheetPr>
    <tabColor theme="9" tint="0.79998168889431442"/>
  </sheetPr>
  <dimension ref="A1:B7"/>
  <sheetViews>
    <sheetView workbookViewId="0">
      <selection activeCell="B6" sqref="B6"/>
    </sheetView>
  </sheetViews>
  <sheetFormatPr defaultColWidth="8.7265625" defaultRowHeight="14.5" x14ac:dyDescent="0.35"/>
  <cols>
    <col min="1" max="1" width="21" bestFit="1" customWidth="1"/>
    <col min="2" max="2" width="123.54296875" customWidth="1"/>
  </cols>
  <sheetData>
    <row r="1" spans="1:2" x14ac:dyDescent="0.35">
      <c r="A1" s="121" t="s">
        <v>35</v>
      </c>
    </row>
    <row r="2" spans="1:2" x14ac:dyDescent="0.35">
      <c r="A2" t="s">
        <v>987</v>
      </c>
    </row>
    <row r="3" spans="1:2" x14ac:dyDescent="0.35">
      <c r="A3" t="s">
        <v>988</v>
      </c>
      <c r="B3" t="s">
        <v>1008</v>
      </c>
    </row>
    <row r="4" spans="1:2" x14ac:dyDescent="0.35">
      <c r="A4" t="s">
        <v>989</v>
      </c>
      <c r="B4" s="5" t="s">
        <v>1009</v>
      </c>
    </row>
    <row r="5" spans="1:2" x14ac:dyDescent="0.35">
      <c r="A5" t="s">
        <v>991</v>
      </c>
      <c r="B5" s="5" t="s">
        <v>1010</v>
      </c>
    </row>
    <row r="6" spans="1:2" x14ac:dyDescent="0.35">
      <c r="A6" t="s">
        <v>990</v>
      </c>
      <c r="B6" s="5" t="s">
        <v>1011</v>
      </c>
    </row>
    <row r="7" spans="1:2" x14ac:dyDescent="0.35">
      <c r="A7" t="s">
        <v>992</v>
      </c>
    </row>
  </sheetData>
  <pageMargins left="0.7" right="0.7" top="0.75" bottom="0.75" header="0.3" footer="0.3"/>
  <customProperties>
    <customPr name="_pios_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A4F6B-FE83-44EE-90FB-C6A4335399A2}">
  <dimension ref="A1:D11"/>
  <sheetViews>
    <sheetView zoomScale="90" zoomScaleNormal="90" workbookViewId="0">
      <selection activeCell="B2" sqref="B2"/>
    </sheetView>
  </sheetViews>
  <sheetFormatPr defaultColWidth="8.7265625" defaultRowHeight="14.5" x14ac:dyDescent="0.35"/>
  <cols>
    <col min="1" max="1" width="8.7265625" style="44"/>
    <col min="2" max="2" width="106.54296875" style="33" bestFit="1" customWidth="1"/>
    <col min="3" max="3" width="18.7265625" style="33" customWidth="1"/>
    <col min="4" max="4" width="37.26953125" style="33" customWidth="1"/>
    <col min="5" max="16384" width="8.7265625" style="33"/>
  </cols>
  <sheetData>
    <row r="1" spans="1:4" x14ac:dyDescent="0.35">
      <c r="A1" s="42" t="s">
        <v>32</v>
      </c>
      <c r="B1" s="43" t="s">
        <v>33</v>
      </c>
      <c r="C1" s="43" t="s">
        <v>34</v>
      </c>
      <c r="D1" s="43" t="s">
        <v>35</v>
      </c>
    </row>
    <row r="2" spans="1:4" x14ac:dyDescent="0.35">
      <c r="A2" s="44">
        <v>1</v>
      </c>
    </row>
    <row r="3" spans="1:4" x14ac:dyDescent="0.35">
      <c r="A3" s="44">
        <v>2</v>
      </c>
    </row>
    <row r="4" spans="1:4" x14ac:dyDescent="0.35">
      <c r="A4" s="44">
        <v>3</v>
      </c>
    </row>
    <row r="5" spans="1:4" x14ac:dyDescent="0.35">
      <c r="A5" s="44">
        <v>4</v>
      </c>
    </row>
    <row r="6" spans="1:4" x14ac:dyDescent="0.35">
      <c r="A6" s="44">
        <v>5</v>
      </c>
    </row>
    <row r="7" spans="1:4" x14ac:dyDescent="0.35">
      <c r="A7" s="44">
        <v>6</v>
      </c>
    </row>
    <row r="8" spans="1:4" x14ac:dyDescent="0.35">
      <c r="A8" s="44">
        <v>7</v>
      </c>
    </row>
    <row r="9" spans="1:4" x14ac:dyDescent="0.35">
      <c r="A9" s="44">
        <v>8</v>
      </c>
    </row>
    <row r="10" spans="1:4" x14ac:dyDescent="0.35">
      <c r="A10" s="44">
        <v>9</v>
      </c>
    </row>
    <row r="11" spans="1:4" x14ac:dyDescent="0.35">
      <c r="A11" s="44">
        <v>10</v>
      </c>
    </row>
  </sheetData>
  <pageMargins left="0.7" right="0.7" top="0.75" bottom="0.75" header="0.3" footer="0.3"/>
  <customProperties>
    <customPr name="_pios_id" r:id="rId1"/>
    <customPr name="EpmWorksheetKeyString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23D4B-0CD2-4F3A-9D1F-DF46E83BE41B}">
  <sheetPr filterMode="1">
    <tabColor theme="9" tint="0.79998168889431442"/>
  </sheetPr>
  <dimension ref="A1:AL14"/>
  <sheetViews>
    <sheetView zoomScale="70" zoomScaleNormal="70" workbookViewId="0">
      <pane xSplit="10" ySplit="1" topLeftCell="K8" activePane="bottomRight" state="frozen"/>
      <selection pane="topRight" activeCell="J1" sqref="J1"/>
      <selection pane="bottomLeft" activeCell="A2" sqref="A2"/>
      <selection pane="bottomRight" activeCell="Q8" sqref="Q8"/>
    </sheetView>
  </sheetViews>
  <sheetFormatPr defaultColWidth="11.453125" defaultRowHeight="15.5" x14ac:dyDescent="0.35"/>
  <cols>
    <col min="1" max="1" width="13.81640625" style="5" customWidth="1"/>
    <col min="2" max="2" width="15" style="5" hidden="1" customWidth="1"/>
    <col min="3" max="3" width="11.453125" style="5" hidden="1" customWidth="1"/>
    <col min="4" max="4" width="18.453125" style="5" hidden="1" customWidth="1"/>
    <col min="5" max="5" width="20.7265625" style="5" hidden="1" customWidth="1"/>
    <col min="6" max="6" width="11.453125" style="5" hidden="1" customWidth="1"/>
    <col min="7" max="7" width="15.26953125" style="5" hidden="1" customWidth="1"/>
    <col min="8" max="8" width="23.54296875" style="5" hidden="1" customWidth="1"/>
    <col min="9" max="9" width="16.7265625" style="5" customWidth="1"/>
    <col min="10" max="10" width="41.1796875" style="5" bestFit="1" customWidth="1"/>
    <col min="11" max="11" width="39.7265625" style="5" bestFit="1" customWidth="1"/>
    <col min="12" max="12" width="37.453125" style="5" bestFit="1" customWidth="1"/>
    <col min="13" max="13" width="51.7265625" style="5" bestFit="1" customWidth="1"/>
    <col min="14" max="14" width="73.26953125" style="69" customWidth="1"/>
    <col min="15" max="15" width="73" style="69" customWidth="1"/>
    <col min="16" max="16" width="15.54296875" style="69" customWidth="1"/>
    <col min="17" max="17" width="25.26953125" style="69" customWidth="1"/>
    <col min="18" max="19" width="40.7265625" style="5" customWidth="1"/>
    <col min="20" max="20" width="23.7265625" style="5" customWidth="1"/>
    <col min="21" max="21" width="11.453125" style="5"/>
    <col min="22" max="22" width="15.7265625" style="5" customWidth="1"/>
    <col min="23" max="23" width="15.54296875" style="5" customWidth="1"/>
    <col min="24" max="24" width="15.7265625" style="5" customWidth="1"/>
    <col min="25" max="25" width="11.453125" style="5"/>
    <col min="26" max="26" width="15.7265625" style="11" customWidth="1"/>
    <col min="27" max="29" width="11.453125" style="5"/>
    <col min="30" max="30" width="21.453125" style="5" customWidth="1"/>
    <col min="31" max="31" width="13.7265625" style="5" customWidth="1"/>
    <col min="32" max="32" width="11.453125" style="5"/>
    <col min="33" max="33" width="13" style="5" customWidth="1"/>
    <col min="34" max="34" width="16.26953125" style="5" customWidth="1"/>
    <col min="35" max="35" width="15.7265625" style="5" customWidth="1"/>
    <col min="36" max="40" width="11.453125" style="5"/>
    <col min="41" max="41" width="36.26953125" style="5" customWidth="1"/>
    <col min="42" max="16384" width="11.453125" style="5"/>
  </cols>
  <sheetData>
    <row r="1" spans="1:38" ht="62" x14ac:dyDescent="0.35">
      <c r="A1" s="143" t="s">
        <v>1073</v>
      </c>
      <c r="B1" s="140" t="s">
        <v>36</v>
      </c>
      <c r="C1" s="60" t="s">
        <v>37</v>
      </c>
      <c r="D1" s="60" t="s">
        <v>38</v>
      </c>
      <c r="E1" s="60" t="s">
        <v>39</v>
      </c>
      <c r="F1" s="60" t="s">
        <v>2</v>
      </c>
      <c r="G1" s="60" t="s">
        <v>3</v>
      </c>
      <c r="H1" s="60" t="s">
        <v>4</v>
      </c>
      <c r="I1" s="60" t="s">
        <v>40</v>
      </c>
      <c r="J1" s="60" t="s">
        <v>41</v>
      </c>
      <c r="K1" s="60" t="s">
        <v>42</v>
      </c>
      <c r="L1" s="60" t="s">
        <v>43</v>
      </c>
      <c r="M1" s="60" t="s">
        <v>44</v>
      </c>
      <c r="N1" s="60" t="s">
        <v>45</v>
      </c>
      <c r="O1" s="91" t="s">
        <v>46</v>
      </c>
      <c r="P1" s="91" t="s">
        <v>1193</v>
      </c>
      <c r="Q1" s="91" t="s">
        <v>35</v>
      </c>
      <c r="R1" s="57" t="s">
        <v>47</v>
      </c>
      <c r="S1" s="57" t="s">
        <v>1249</v>
      </c>
      <c r="T1" s="57" t="s">
        <v>48</v>
      </c>
      <c r="U1" s="57" t="s">
        <v>49</v>
      </c>
      <c r="V1" s="57" t="s">
        <v>50</v>
      </c>
      <c r="W1" s="57" t="s">
        <v>51</v>
      </c>
      <c r="X1" s="57" t="s">
        <v>52</v>
      </c>
      <c r="Y1" s="57" t="s">
        <v>53</v>
      </c>
      <c r="Z1" s="57" t="s">
        <v>54</v>
      </c>
      <c r="AA1" s="58" t="s">
        <v>55</v>
      </c>
      <c r="AB1" s="59" t="s">
        <v>56</v>
      </c>
      <c r="AC1" s="59" t="s">
        <v>57</v>
      </c>
      <c r="AD1" s="59" t="s">
        <v>58</v>
      </c>
      <c r="AE1" s="59" t="s">
        <v>59</v>
      </c>
      <c r="AF1" s="59" t="s">
        <v>60</v>
      </c>
      <c r="AG1" s="59" t="s">
        <v>61</v>
      </c>
      <c r="AH1" s="59" t="s">
        <v>62</v>
      </c>
      <c r="AI1" s="59" t="s">
        <v>63</v>
      </c>
      <c r="AJ1" s="59" t="s">
        <v>64</v>
      </c>
      <c r="AK1" s="59" t="s">
        <v>65</v>
      </c>
      <c r="AL1" s="59" t="s">
        <v>66</v>
      </c>
    </row>
    <row r="2" spans="1:38" ht="29" hidden="1" x14ac:dyDescent="0.35">
      <c r="A2" s="144" t="s">
        <v>1074</v>
      </c>
      <c r="B2" s="141"/>
      <c r="C2" s="4"/>
      <c r="D2" s="4"/>
      <c r="E2" s="4"/>
      <c r="F2" s="61"/>
      <c r="G2" s="61"/>
      <c r="H2" s="66" t="s">
        <v>67</v>
      </c>
      <c r="I2" s="67" t="s">
        <v>68</v>
      </c>
      <c r="J2" s="1" t="s">
        <v>69</v>
      </c>
      <c r="K2" s="1" t="s">
        <v>70</v>
      </c>
      <c r="L2" s="4" t="s">
        <v>71</v>
      </c>
      <c r="M2" s="4" t="s">
        <v>72</v>
      </c>
      <c r="N2" s="4"/>
      <c r="O2" s="4"/>
      <c r="P2" s="5"/>
      <c r="Q2" s="5" t="s">
        <v>988</v>
      </c>
    </row>
    <row r="3" spans="1:38" ht="58" hidden="1" x14ac:dyDescent="0.35">
      <c r="A3" s="144" t="s">
        <v>1075</v>
      </c>
      <c r="B3" s="141"/>
      <c r="C3" s="4"/>
      <c r="D3" s="4"/>
      <c r="E3" s="4"/>
      <c r="F3" s="61"/>
      <c r="G3" s="61"/>
      <c r="H3" s="66" t="s">
        <v>73</v>
      </c>
      <c r="I3" s="67" t="s">
        <v>68</v>
      </c>
      <c r="J3" s="1" t="s">
        <v>74</v>
      </c>
      <c r="K3" s="1"/>
      <c r="L3" s="4" t="s">
        <v>75</v>
      </c>
      <c r="M3" s="4" t="s">
        <v>76</v>
      </c>
      <c r="N3" s="4" t="s">
        <v>1192</v>
      </c>
      <c r="O3" s="4" t="s">
        <v>967</v>
      </c>
      <c r="P3" s="5" t="s">
        <v>1048</v>
      </c>
      <c r="Q3" s="5" t="s">
        <v>988</v>
      </c>
    </row>
    <row r="4" spans="1:38" ht="130.5" hidden="1" x14ac:dyDescent="0.35">
      <c r="A4" s="144" t="s">
        <v>1076</v>
      </c>
      <c r="B4" s="141"/>
      <c r="C4" s="4"/>
      <c r="D4" s="4"/>
      <c r="E4" s="4"/>
      <c r="F4" s="61"/>
      <c r="G4" s="61"/>
      <c r="H4" s="66" t="s">
        <v>77</v>
      </c>
      <c r="I4" s="67" t="s">
        <v>68</v>
      </c>
      <c r="J4" s="1" t="s">
        <v>78</v>
      </c>
      <c r="K4" s="1" t="s">
        <v>79</v>
      </c>
      <c r="L4" s="4" t="s">
        <v>80</v>
      </c>
      <c r="M4" s="4" t="s">
        <v>81</v>
      </c>
      <c r="N4" s="4" t="s">
        <v>1005</v>
      </c>
      <c r="O4" s="4" t="s">
        <v>986</v>
      </c>
      <c r="P4" s="5" t="s">
        <v>1049</v>
      </c>
      <c r="Q4" s="5" t="s">
        <v>989</v>
      </c>
    </row>
    <row r="5" spans="1:38" ht="261" hidden="1" x14ac:dyDescent="0.35">
      <c r="A5" s="144" t="s">
        <v>1077</v>
      </c>
      <c r="B5" s="141"/>
      <c r="C5" s="4"/>
      <c r="D5" s="4"/>
      <c r="E5" s="4"/>
      <c r="F5" s="61"/>
      <c r="G5" s="61"/>
      <c r="H5" s="66" t="s">
        <v>82</v>
      </c>
      <c r="I5" s="67" t="s">
        <v>68</v>
      </c>
      <c r="J5" s="4" t="s">
        <v>83</v>
      </c>
      <c r="K5" s="1" t="s">
        <v>84</v>
      </c>
      <c r="L5" s="4" t="s">
        <v>85</v>
      </c>
      <c r="M5" s="4" t="s">
        <v>86</v>
      </c>
      <c r="N5" s="4" t="s">
        <v>1025</v>
      </c>
      <c r="O5" s="4" t="s">
        <v>1054</v>
      </c>
      <c r="P5" s="5" t="s">
        <v>1049</v>
      </c>
      <c r="Q5" s="5" t="s">
        <v>990</v>
      </c>
    </row>
    <row r="6" spans="1:38" ht="87" hidden="1" x14ac:dyDescent="0.35">
      <c r="A6" s="144" t="s">
        <v>1078</v>
      </c>
      <c r="B6" s="141"/>
      <c r="C6" s="4"/>
      <c r="D6" s="4"/>
      <c r="E6" s="4"/>
      <c r="F6" s="61"/>
      <c r="G6" s="61"/>
      <c r="H6" s="66" t="s">
        <v>87</v>
      </c>
      <c r="I6" s="67" t="s">
        <v>68</v>
      </c>
      <c r="J6" s="4" t="s">
        <v>88</v>
      </c>
      <c r="K6" s="1"/>
      <c r="L6" s="4" t="s">
        <v>89</v>
      </c>
      <c r="M6" s="4"/>
      <c r="N6" s="4"/>
      <c r="O6" s="4" t="s">
        <v>90</v>
      </c>
      <c r="P6" s="5" t="s">
        <v>1049</v>
      </c>
      <c r="Q6" s="5" t="s">
        <v>988</v>
      </c>
    </row>
    <row r="7" spans="1:38" ht="59.5" hidden="1" customHeight="1" x14ac:dyDescent="0.35">
      <c r="A7" s="144" t="s">
        <v>1079</v>
      </c>
      <c r="B7" s="141"/>
      <c r="C7" s="4"/>
      <c r="D7" s="4"/>
      <c r="E7" s="4"/>
      <c r="F7" s="61"/>
      <c r="G7" s="61"/>
      <c r="H7" s="66" t="s">
        <v>91</v>
      </c>
      <c r="I7" s="67" t="s">
        <v>68</v>
      </c>
      <c r="J7" s="4" t="s">
        <v>92</v>
      </c>
      <c r="K7" s="1"/>
      <c r="L7" s="1" t="s">
        <v>93</v>
      </c>
      <c r="M7" s="4"/>
      <c r="N7" s="4"/>
      <c r="O7" s="4" t="s">
        <v>94</v>
      </c>
      <c r="P7" s="5" t="s">
        <v>1049</v>
      </c>
      <c r="Q7" s="5" t="s">
        <v>988</v>
      </c>
    </row>
    <row r="8" spans="1:38" ht="96.75" customHeight="1" x14ac:dyDescent="0.35">
      <c r="A8" s="144" t="s">
        <v>1080</v>
      </c>
      <c r="B8" s="141"/>
      <c r="C8" s="4"/>
      <c r="D8" s="4"/>
      <c r="E8" s="4"/>
      <c r="F8" s="61"/>
      <c r="G8" s="61"/>
      <c r="H8" s="66" t="s">
        <v>95</v>
      </c>
      <c r="I8" s="67" t="s">
        <v>68</v>
      </c>
      <c r="J8" s="4" t="s">
        <v>96</v>
      </c>
      <c r="K8" s="1"/>
      <c r="L8" s="1" t="s">
        <v>93</v>
      </c>
      <c r="M8" s="4"/>
      <c r="N8" s="4" t="s">
        <v>1229</v>
      </c>
      <c r="O8" s="4"/>
      <c r="P8" s="5" t="s">
        <v>1048</v>
      </c>
      <c r="Q8" s="5" t="s">
        <v>987</v>
      </c>
    </row>
    <row r="9" spans="1:38" ht="87" hidden="1" x14ac:dyDescent="0.35">
      <c r="A9" s="144" t="s">
        <v>1081</v>
      </c>
      <c r="B9" s="141"/>
      <c r="C9" s="4"/>
      <c r="D9" s="4"/>
      <c r="E9" s="4"/>
      <c r="F9" s="61"/>
      <c r="G9" s="61"/>
      <c r="H9" s="66" t="s">
        <v>97</v>
      </c>
      <c r="I9" s="67" t="s">
        <v>68</v>
      </c>
      <c r="J9" s="4" t="s">
        <v>98</v>
      </c>
      <c r="K9" s="1" t="s">
        <v>99</v>
      </c>
      <c r="L9" s="1" t="s">
        <v>100</v>
      </c>
      <c r="M9" s="4"/>
      <c r="N9" s="4" t="s">
        <v>101</v>
      </c>
      <c r="O9" s="4" t="s">
        <v>985</v>
      </c>
      <c r="P9" s="5" t="s">
        <v>1049</v>
      </c>
      <c r="Q9" s="5" t="s">
        <v>990</v>
      </c>
    </row>
    <row r="10" spans="1:38" ht="43.5" hidden="1" x14ac:dyDescent="0.35">
      <c r="A10" s="144" t="s">
        <v>1082</v>
      </c>
      <c r="F10" s="96"/>
      <c r="G10" s="96"/>
      <c r="H10" s="66" t="s">
        <v>102</v>
      </c>
      <c r="I10" s="67" t="s">
        <v>68</v>
      </c>
      <c r="J10" s="4" t="s">
        <v>103</v>
      </c>
      <c r="K10" s="4"/>
      <c r="L10" s="4" t="s">
        <v>104</v>
      </c>
      <c r="M10" s="4"/>
      <c r="N10" s="4"/>
      <c r="O10" s="4" t="s">
        <v>1006</v>
      </c>
      <c r="P10" s="5" t="s">
        <v>1049</v>
      </c>
      <c r="Q10" s="5" t="s">
        <v>990</v>
      </c>
    </row>
    <row r="11" spans="1:38" ht="58" hidden="1" x14ac:dyDescent="0.35">
      <c r="A11" s="144" t="s">
        <v>1083</v>
      </c>
      <c r="H11" s="66" t="s">
        <v>105</v>
      </c>
      <c r="I11" s="4" t="s">
        <v>106</v>
      </c>
      <c r="J11" s="4" t="s">
        <v>107</v>
      </c>
      <c r="K11" s="4"/>
      <c r="L11" s="4" t="s">
        <v>108</v>
      </c>
      <c r="M11" s="4" t="s">
        <v>109</v>
      </c>
      <c r="N11" s="4" t="s">
        <v>1024</v>
      </c>
      <c r="O11" s="4" t="s">
        <v>1022</v>
      </c>
      <c r="P11" s="5" t="s">
        <v>1048</v>
      </c>
      <c r="Q11" s="5" t="s">
        <v>991</v>
      </c>
    </row>
    <row r="12" spans="1:38" ht="130.5" hidden="1" x14ac:dyDescent="0.35">
      <c r="A12" s="144" t="s">
        <v>1084</v>
      </c>
      <c r="B12" s="141"/>
      <c r="C12" s="4"/>
      <c r="D12" s="4"/>
      <c r="E12" s="4"/>
      <c r="F12" s="61"/>
      <c r="G12" s="61"/>
      <c r="H12" s="66" t="s">
        <v>110</v>
      </c>
      <c r="I12" s="67" t="s">
        <v>111</v>
      </c>
      <c r="J12" s="4" t="s">
        <v>112</v>
      </c>
      <c r="K12" s="1" t="s">
        <v>113</v>
      </c>
      <c r="L12" s="4" t="s">
        <v>71</v>
      </c>
      <c r="M12" s="4" t="s">
        <v>114</v>
      </c>
      <c r="N12" s="4" t="s">
        <v>1026</v>
      </c>
      <c r="O12" s="4" t="s">
        <v>1021</v>
      </c>
      <c r="P12" s="5"/>
      <c r="Q12" s="5" t="s">
        <v>988</v>
      </c>
    </row>
    <row r="13" spans="1:38" ht="72.5" hidden="1" x14ac:dyDescent="0.35">
      <c r="A13" s="144" t="s">
        <v>1085</v>
      </c>
      <c r="B13" s="142"/>
      <c r="C13" s="1"/>
      <c r="D13" s="1"/>
      <c r="E13" s="1"/>
      <c r="H13" s="66" t="s">
        <v>115</v>
      </c>
      <c r="I13" s="92" t="s">
        <v>116</v>
      </c>
      <c r="J13" s="1" t="s">
        <v>117</v>
      </c>
      <c r="K13" s="1" t="s">
        <v>118</v>
      </c>
      <c r="L13" s="1" t="s">
        <v>119</v>
      </c>
      <c r="M13" s="1"/>
      <c r="N13" s="85"/>
      <c r="O13" s="4" t="s">
        <v>1028</v>
      </c>
      <c r="P13" s="5" t="s">
        <v>1049</v>
      </c>
      <c r="Q13" s="5" t="s">
        <v>990</v>
      </c>
    </row>
    <row r="14" spans="1:38" ht="43.5" hidden="1" x14ac:dyDescent="0.35">
      <c r="A14" s="144" t="s">
        <v>1248</v>
      </c>
      <c r="B14" s="27"/>
      <c r="C14" s="27"/>
      <c r="D14" s="27"/>
      <c r="E14" s="27"/>
      <c r="F14" s="27"/>
      <c r="G14" s="27"/>
      <c r="H14" s="146"/>
      <c r="I14" s="3" t="s">
        <v>68</v>
      </c>
      <c r="J14" s="3" t="s">
        <v>1247</v>
      </c>
      <c r="K14" s="3"/>
      <c r="L14" s="3"/>
      <c r="M14" s="3"/>
      <c r="N14" s="147"/>
      <c r="O14" s="148"/>
      <c r="P14" s="148" t="s">
        <v>1049</v>
      </c>
      <c r="Q14" s="139" t="s">
        <v>989</v>
      </c>
    </row>
  </sheetData>
  <autoFilter ref="B1:AL14" xr:uid="{96C23D4B-0CD2-4F3A-9D1F-DF46E83BE41B}">
    <filterColumn colId="15">
      <filters>
        <filter val="Open"/>
      </filters>
    </filterColumn>
  </autoFilter>
  <phoneticPr fontId="9" type="noConversion"/>
  <conditionalFormatting sqref="P1:P1048576">
    <cfRule type="cellIs" dxfId="20" priority="1" operator="equal">
      <formula>"Low"</formula>
    </cfRule>
    <cfRule type="cellIs" dxfId="19" priority="2" operator="equal">
      <formula>"Medium"</formula>
    </cfRule>
    <cfRule type="cellIs" dxfId="18" priority="3" operator="equal">
      <formula>"High"</formula>
    </cfRule>
  </conditionalFormatting>
  <dataValidations count="1">
    <dataValidation type="list" allowBlank="1" showInputMessage="1" showErrorMessage="1" sqref="C3:C10 C12" xr:uid="{D4575DC1-0554-4878-9264-EEE4EDD32A0F}">
      <formula1>"S2C,P2R,I2P,WHT,other"</formula1>
    </dataValidation>
  </dataValidations>
  <pageMargins left="0.7" right="0.7" top="0.75" bottom="0.75" header="0.3" footer="0.3"/>
  <pageSetup orientation="portrait" r:id="rId1"/>
  <customProperties>
    <customPr name="_pios_id" r:id="rId2"/>
    <customPr name="EpmWorksheetKeyString_GUID" r:id="rId3"/>
  </customProperties>
  <extLst>
    <ext xmlns:x14="http://schemas.microsoft.com/office/spreadsheetml/2009/9/main" uri="{CCE6A557-97BC-4b89-ADB6-D9C93CAAB3DF}">
      <x14:dataValidations xmlns:xm="http://schemas.microsoft.com/office/excel/2006/main" count="2">
        <x14:dataValidation type="list" allowBlank="1" showInputMessage="1" showErrorMessage="1" xr:uid="{73713028-F514-4620-ACD0-885AA547BE38}">
          <x14:formula1>
            <xm:f>Status!$A:$A</xm:f>
          </x14:formula1>
          <xm:sqref>Q1:Q1048576</xm:sqref>
        </x14:dataValidation>
        <x14:dataValidation type="list" allowBlank="1" showInputMessage="1" showErrorMessage="1" xr:uid="{523ADBF6-C73C-4934-AF05-E2E7605539BE}">
          <x14:formula1>
            <xm:f>'Planning Overview'!$B$3:$B$11</xm:f>
          </x14:formula1>
          <xm:sqref>R4:R1048576 R1:R2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957D-4AFA-47F9-A9EA-4DEFDBE3C980}">
  <sheetPr>
    <tabColor theme="9" tint="0.79998168889431442"/>
  </sheetPr>
  <dimension ref="A1:AK13"/>
  <sheetViews>
    <sheetView zoomScale="70" zoomScaleNormal="70" workbookViewId="0">
      <pane xSplit="10" ySplit="1" topLeftCell="X2" activePane="bottomRight" state="frozen"/>
      <selection pane="topRight" activeCell="J1" sqref="J1"/>
      <selection pane="bottomLeft" activeCell="A2" sqref="A2"/>
      <selection pane="bottomRight" activeCell="AC5" sqref="AC5"/>
    </sheetView>
  </sheetViews>
  <sheetFormatPr defaultColWidth="11.453125" defaultRowHeight="15.5" x14ac:dyDescent="0.35"/>
  <cols>
    <col min="1" max="1" width="13.81640625" style="5" customWidth="1"/>
    <col min="2" max="2" width="12.7265625" style="5" hidden="1" customWidth="1"/>
    <col min="3" max="3" width="6.1796875" style="5" hidden="1" customWidth="1"/>
    <col min="4" max="4" width="10.54296875" style="5" hidden="1" customWidth="1"/>
    <col min="5" max="5" width="12.26953125" style="5" hidden="1" customWidth="1"/>
    <col min="6" max="6" width="11.453125" style="5" hidden="1" customWidth="1"/>
    <col min="7" max="7" width="15.26953125" style="5" hidden="1" customWidth="1"/>
    <col min="8" max="8" width="21.26953125" style="5" hidden="1" customWidth="1"/>
    <col min="9" max="9" width="15.7265625" style="5" bestFit="1" customWidth="1"/>
    <col min="10" max="10" width="41.1796875" style="5" bestFit="1" customWidth="1"/>
    <col min="11" max="11" width="12.54296875" style="5" customWidth="1"/>
    <col min="12" max="12" width="27.81640625" style="5" customWidth="1"/>
    <col min="13" max="13" width="54.54296875" style="5" bestFit="1" customWidth="1"/>
    <col min="14" max="14" width="52.54296875" style="69" customWidth="1"/>
    <col min="15" max="15" width="42" style="69" customWidth="1"/>
    <col min="16" max="16" width="16.81640625" style="69" customWidth="1"/>
    <col min="17" max="17" width="27.7265625" style="69" customWidth="1"/>
    <col min="18" max="18" width="17.7265625" style="5" customWidth="1"/>
    <col min="19" max="20" width="11.453125" style="5"/>
    <col min="21" max="21" width="15.7265625" style="5" customWidth="1"/>
    <col min="22" max="22" width="15.54296875" style="5" customWidth="1"/>
    <col min="23" max="23" width="15.7265625" style="5" customWidth="1"/>
    <col min="24" max="24" width="11.453125" style="5"/>
    <col min="25" max="25" width="15.7265625" style="11" customWidth="1"/>
    <col min="26" max="28" width="11.453125" style="5"/>
    <col min="29" max="29" width="21.453125" style="5" customWidth="1"/>
    <col min="30" max="30" width="13.7265625" style="5" customWidth="1"/>
    <col min="31" max="31" width="11.453125" style="5"/>
    <col min="32" max="32" width="13" style="5" customWidth="1"/>
    <col min="33" max="33" width="16.26953125" style="5" customWidth="1"/>
    <col min="34" max="34" width="15.7265625" style="5" customWidth="1"/>
    <col min="35" max="39" width="11.453125" style="5"/>
    <col min="40" max="40" width="36.26953125" style="5" customWidth="1"/>
    <col min="41" max="16384" width="11.453125" style="5"/>
  </cols>
  <sheetData>
    <row r="1" spans="1:37" ht="98.25" customHeight="1" x14ac:dyDescent="0.35">
      <c r="A1" s="143" t="s">
        <v>1073</v>
      </c>
      <c r="B1" s="60" t="s">
        <v>36</v>
      </c>
      <c r="C1" s="60" t="s">
        <v>37</v>
      </c>
      <c r="D1" s="60" t="s">
        <v>38</v>
      </c>
      <c r="E1" s="60" t="s">
        <v>39</v>
      </c>
      <c r="F1" s="60" t="s">
        <v>2</v>
      </c>
      <c r="G1" s="60" t="s">
        <v>3</v>
      </c>
      <c r="H1" s="60" t="s">
        <v>4</v>
      </c>
      <c r="I1" s="60" t="s">
        <v>40</v>
      </c>
      <c r="J1" s="60" t="s">
        <v>41</v>
      </c>
      <c r="K1" s="60" t="s">
        <v>42</v>
      </c>
      <c r="L1" s="60" t="s">
        <v>43</v>
      </c>
      <c r="M1" s="60" t="s">
        <v>44</v>
      </c>
      <c r="N1" s="60" t="s">
        <v>45</v>
      </c>
      <c r="O1" s="91" t="s">
        <v>121</v>
      </c>
      <c r="P1" s="91" t="s">
        <v>1193</v>
      </c>
      <c r="Q1" s="91" t="s">
        <v>35</v>
      </c>
      <c r="R1" s="57" t="s">
        <v>47</v>
      </c>
      <c r="S1" s="57" t="s">
        <v>48</v>
      </c>
      <c r="T1" s="57" t="s">
        <v>49</v>
      </c>
      <c r="U1" s="57" t="s">
        <v>50</v>
      </c>
      <c r="V1" s="57" t="s">
        <v>51</v>
      </c>
      <c r="W1" s="57" t="s">
        <v>52</v>
      </c>
      <c r="X1" s="57" t="s">
        <v>53</v>
      </c>
      <c r="Y1" s="57" t="s">
        <v>54</v>
      </c>
      <c r="Z1" s="58" t="s">
        <v>55</v>
      </c>
      <c r="AA1" s="59" t="s">
        <v>56</v>
      </c>
      <c r="AB1" s="59" t="s">
        <v>57</v>
      </c>
      <c r="AC1" s="59" t="s">
        <v>58</v>
      </c>
      <c r="AD1" s="59" t="s">
        <v>59</v>
      </c>
      <c r="AE1" s="59" t="s">
        <v>60</v>
      </c>
      <c r="AF1" s="59" t="s">
        <v>61</v>
      </c>
      <c r="AG1" s="59" t="s">
        <v>62</v>
      </c>
      <c r="AH1" s="59" t="s">
        <v>63</v>
      </c>
      <c r="AI1" s="59" t="s">
        <v>64</v>
      </c>
      <c r="AJ1" s="59" t="s">
        <v>65</v>
      </c>
      <c r="AK1" s="59" t="s">
        <v>66</v>
      </c>
    </row>
    <row r="2" spans="1:37" ht="72.5" x14ac:dyDescent="0.35">
      <c r="A2" s="144" t="s">
        <v>1086</v>
      </c>
      <c r="B2" s="4"/>
      <c r="C2" s="4"/>
      <c r="D2" s="4"/>
      <c r="E2" s="4"/>
      <c r="F2" s="61"/>
      <c r="G2" s="61"/>
      <c r="H2" s="66" t="s">
        <v>122</v>
      </c>
      <c r="I2" s="4" t="s">
        <v>116</v>
      </c>
      <c r="J2" s="1" t="s">
        <v>123</v>
      </c>
      <c r="K2" s="1"/>
      <c r="L2" s="4" t="s">
        <v>124</v>
      </c>
      <c r="M2" s="4" t="s">
        <v>125</v>
      </c>
      <c r="N2" s="4" t="s">
        <v>1029</v>
      </c>
      <c r="O2" s="5" t="s">
        <v>993</v>
      </c>
      <c r="P2" s="5"/>
      <c r="Q2" s="137" t="s">
        <v>988</v>
      </c>
    </row>
    <row r="3" spans="1:37" ht="58" x14ac:dyDescent="0.35">
      <c r="A3" s="144" t="s">
        <v>1087</v>
      </c>
      <c r="B3" s="4"/>
      <c r="C3" s="4"/>
      <c r="D3" s="4"/>
      <c r="E3" s="4"/>
      <c r="F3" s="61"/>
      <c r="G3" s="61"/>
      <c r="H3" s="66" t="s">
        <v>102</v>
      </c>
      <c r="I3" s="4" t="s">
        <v>116</v>
      </c>
      <c r="J3" s="4" t="s">
        <v>126</v>
      </c>
      <c r="K3" s="1"/>
      <c r="L3" s="1"/>
      <c r="M3" s="4"/>
      <c r="N3" s="4" t="s">
        <v>1030</v>
      </c>
      <c r="O3" s="4" t="s">
        <v>1031</v>
      </c>
      <c r="P3" s="5" t="s">
        <v>1049</v>
      </c>
      <c r="Q3" s="137" t="s">
        <v>987</v>
      </c>
    </row>
    <row r="4" spans="1:37" ht="88.9" customHeight="1" x14ac:dyDescent="0.35">
      <c r="A4" s="144" t="s">
        <v>1088</v>
      </c>
      <c r="B4" s="4"/>
      <c r="C4" s="4"/>
      <c r="D4" s="4"/>
      <c r="E4" s="4"/>
      <c r="F4" s="61"/>
      <c r="G4" s="61"/>
      <c r="H4" s="66" t="s">
        <v>127</v>
      </c>
      <c r="I4" s="4" t="s">
        <v>128</v>
      </c>
      <c r="J4" s="4" t="s">
        <v>129</v>
      </c>
      <c r="K4" s="4"/>
      <c r="L4" s="4" t="s">
        <v>124</v>
      </c>
      <c r="M4" s="4" t="s">
        <v>130</v>
      </c>
      <c r="N4" s="4" t="s">
        <v>1042</v>
      </c>
      <c r="O4" s="5" t="s">
        <v>1023</v>
      </c>
      <c r="P4" s="5"/>
      <c r="Q4" s="137" t="s">
        <v>992</v>
      </c>
    </row>
    <row r="5" spans="1:37" ht="121.15" customHeight="1" x14ac:dyDescent="0.35">
      <c r="A5" s="144" t="s">
        <v>1089</v>
      </c>
      <c r="B5" s="4"/>
      <c r="C5" s="4"/>
      <c r="D5" s="4"/>
      <c r="E5" s="4"/>
      <c r="F5" s="4"/>
      <c r="G5" s="4"/>
      <c r="H5" s="66" t="s">
        <v>131</v>
      </c>
      <c r="I5" s="68" t="s">
        <v>132</v>
      </c>
      <c r="J5" s="61" t="s">
        <v>133</v>
      </c>
      <c r="K5" s="61" t="s">
        <v>118</v>
      </c>
      <c r="L5" s="61" t="s">
        <v>134</v>
      </c>
      <c r="M5" s="61" t="s">
        <v>135</v>
      </c>
      <c r="N5" s="4"/>
      <c r="O5" s="5" t="s">
        <v>1032</v>
      </c>
      <c r="P5" s="5" t="s">
        <v>1048</v>
      </c>
      <c r="Q5" s="137" t="s">
        <v>990</v>
      </c>
    </row>
    <row r="6" spans="1:37" ht="124.15" customHeight="1" x14ac:dyDescent="0.35">
      <c r="A6" s="144" t="s">
        <v>1090</v>
      </c>
      <c r="B6" s="4"/>
      <c r="C6" s="4"/>
      <c r="D6" s="4"/>
      <c r="E6" s="4"/>
      <c r="F6" s="4"/>
      <c r="G6" s="4"/>
      <c r="H6" s="66" t="s">
        <v>136</v>
      </c>
      <c r="I6" s="68" t="s">
        <v>132</v>
      </c>
      <c r="J6" s="61" t="s">
        <v>137</v>
      </c>
      <c r="L6" s="61" t="s">
        <v>138</v>
      </c>
      <c r="M6" s="61" t="s">
        <v>139</v>
      </c>
      <c r="N6" s="4" t="s">
        <v>140</v>
      </c>
      <c r="O6" s="5" t="s">
        <v>1067</v>
      </c>
      <c r="P6" s="5" t="s">
        <v>1049</v>
      </c>
      <c r="Q6" s="137" t="s">
        <v>990</v>
      </c>
    </row>
    <row r="7" spans="1:37" ht="310.14999999999998" customHeight="1" x14ac:dyDescent="0.35">
      <c r="A7" s="144" t="s">
        <v>1091</v>
      </c>
      <c r="B7" s="4"/>
      <c r="C7" s="4"/>
      <c r="D7" s="4"/>
      <c r="E7" s="4"/>
      <c r="F7" s="4"/>
      <c r="G7" s="4"/>
      <c r="H7" s="66" t="s">
        <v>141</v>
      </c>
      <c r="I7" s="68" t="s">
        <v>132</v>
      </c>
      <c r="J7" s="83" t="s">
        <v>142</v>
      </c>
      <c r="K7" s="61" t="s">
        <v>118</v>
      </c>
      <c r="L7" s="61" t="s">
        <v>143</v>
      </c>
      <c r="M7" s="61" t="s">
        <v>144</v>
      </c>
      <c r="N7" s="4"/>
      <c r="O7" s="5" t="s">
        <v>984</v>
      </c>
      <c r="P7" s="5" t="s">
        <v>1049</v>
      </c>
      <c r="Q7" s="137" t="s">
        <v>988</v>
      </c>
    </row>
    <row r="8" spans="1:37" ht="72.5" x14ac:dyDescent="0.35">
      <c r="A8" s="144" t="s">
        <v>1092</v>
      </c>
      <c r="B8" s="4"/>
      <c r="C8" s="4"/>
      <c r="D8" s="4"/>
      <c r="E8" s="4"/>
      <c r="F8" s="4"/>
      <c r="G8" s="4"/>
      <c r="H8" s="66" t="s">
        <v>145</v>
      </c>
      <c r="I8" s="68" t="s">
        <v>132</v>
      </c>
      <c r="J8" s="83" t="s">
        <v>146</v>
      </c>
      <c r="K8" s="61"/>
      <c r="L8" s="61"/>
      <c r="M8" s="61"/>
      <c r="N8" s="4"/>
      <c r="O8" s="5" t="s">
        <v>983</v>
      </c>
      <c r="P8" s="5" t="s">
        <v>1049</v>
      </c>
      <c r="Q8" s="137" t="s">
        <v>988</v>
      </c>
    </row>
    <row r="9" spans="1:37" ht="29" x14ac:dyDescent="0.35">
      <c r="A9" s="144" t="s">
        <v>1093</v>
      </c>
      <c r="B9" s="4"/>
      <c r="C9" s="4"/>
      <c r="D9" s="4"/>
      <c r="E9" s="4"/>
      <c r="F9" s="4"/>
      <c r="G9" s="4"/>
      <c r="H9" s="66" t="s">
        <v>147</v>
      </c>
      <c r="I9" s="68" t="s">
        <v>132</v>
      </c>
      <c r="J9" s="65" t="s">
        <v>148</v>
      </c>
      <c r="K9" s="61" t="s">
        <v>118</v>
      </c>
      <c r="L9" s="61" t="s">
        <v>149</v>
      </c>
      <c r="M9" s="61" t="s">
        <v>150</v>
      </c>
      <c r="N9" s="4"/>
      <c r="O9" s="5" t="s">
        <v>94</v>
      </c>
      <c r="P9" s="5" t="s">
        <v>1049</v>
      </c>
      <c r="Q9" s="137" t="s">
        <v>988</v>
      </c>
    </row>
    <row r="10" spans="1:37" ht="29" x14ac:dyDescent="0.35">
      <c r="A10" s="144" t="s">
        <v>1094</v>
      </c>
      <c r="B10" s="4"/>
      <c r="C10" s="4"/>
      <c r="D10" s="4"/>
      <c r="E10" s="4"/>
      <c r="F10" s="4"/>
      <c r="G10" s="4"/>
      <c r="H10" s="66" t="s">
        <v>151</v>
      </c>
      <c r="I10" s="68" t="s">
        <v>132</v>
      </c>
      <c r="J10" s="61" t="s">
        <v>152</v>
      </c>
      <c r="K10" s="61" t="s">
        <v>118</v>
      </c>
      <c r="L10" s="61" t="s">
        <v>153</v>
      </c>
      <c r="M10" s="61" t="s">
        <v>154</v>
      </c>
      <c r="N10" s="4"/>
      <c r="O10" s="5" t="s">
        <v>94</v>
      </c>
      <c r="P10" s="5" t="s">
        <v>1049</v>
      </c>
      <c r="Q10" s="137" t="s">
        <v>988</v>
      </c>
    </row>
    <row r="11" spans="1:37" ht="43.5" x14ac:dyDescent="0.35">
      <c r="A11" s="144" t="s">
        <v>1095</v>
      </c>
      <c r="B11" s="4"/>
      <c r="C11" s="4"/>
      <c r="D11" s="4"/>
      <c r="E11" s="4"/>
      <c r="F11" s="61"/>
      <c r="G11" s="61"/>
      <c r="H11" s="66" t="s">
        <v>155</v>
      </c>
      <c r="I11" s="68" t="s">
        <v>132</v>
      </c>
      <c r="J11" s="1" t="s">
        <v>156</v>
      </c>
      <c r="K11" s="1"/>
      <c r="L11" s="4" t="s">
        <v>157</v>
      </c>
      <c r="M11" s="4" t="s">
        <v>76</v>
      </c>
      <c r="N11" s="4" t="s">
        <v>1043</v>
      </c>
      <c r="O11" s="5"/>
      <c r="P11" s="5" t="s">
        <v>1049</v>
      </c>
      <c r="Q11" s="137" t="s">
        <v>988</v>
      </c>
    </row>
    <row r="12" spans="1:37" ht="101.5" x14ac:dyDescent="0.35">
      <c r="A12" s="144" t="s">
        <v>1096</v>
      </c>
      <c r="B12" s="4"/>
      <c r="C12" s="4"/>
      <c r="D12" s="4"/>
      <c r="E12" s="4"/>
      <c r="F12" s="4"/>
      <c r="G12" s="4"/>
      <c r="H12" s="66" t="s">
        <v>158</v>
      </c>
      <c r="I12" s="68" t="s">
        <v>132</v>
      </c>
      <c r="J12" s="61" t="s">
        <v>159</v>
      </c>
      <c r="K12" s="61" t="s">
        <v>118</v>
      </c>
      <c r="L12" s="61" t="s">
        <v>160</v>
      </c>
      <c r="M12" s="61" t="s">
        <v>161</v>
      </c>
      <c r="N12" s="4"/>
      <c r="O12" s="5" t="s">
        <v>1061</v>
      </c>
      <c r="P12" s="5" t="s">
        <v>1049</v>
      </c>
      <c r="Q12" s="137" t="s">
        <v>990</v>
      </c>
    </row>
    <row r="13" spans="1:37" ht="72.5" x14ac:dyDescent="0.35">
      <c r="A13" s="144" t="s">
        <v>1097</v>
      </c>
      <c r="B13" s="4"/>
      <c r="C13" s="4"/>
      <c r="D13" s="4"/>
      <c r="E13" s="4"/>
      <c r="F13" s="61"/>
      <c r="G13" s="61"/>
      <c r="H13" s="66" t="s">
        <v>162</v>
      </c>
      <c r="I13" s="67" t="s">
        <v>68</v>
      </c>
      <c r="J13" s="4" t="s">
        <v>163</v>
      </c>
      <c r="K13" s="1"/>
      <c r="L13" s="4" t="s">
        <v>164</v>
      </c>
      <c r="M13" s="4" t="s">
        <v>165</v>
      </c>
      <c r="N13" s="4"/>
      <c r="O13" s="5" t="s">
        <v>1068</v>
      </c>
      <c r="P13" s="5" t="s">
        <v>1049</v>
      </c>
      <c r="Q13" s="137" t="s">
        <v>990</v>
      </c>
    </row>
  </sheetData>
  <autoFilter ref="B1:AK13" xr:uid="{7864957D-4AFA-47F9-A9EA-4DEFDBE3C980}"/>
  <phoneticPr fontId="9" type="noConversion"/>
  <conditionalFormatting sqref="P1:P1048576">
    <cfRule type="cellIs" dxfId="17" priority="1" operator="equal">
      <formula>"Low"</formula>
    </cfRule>
    <cfRule type="cellIs" dxfId="16" priority="2" operator="equal">
      <formula>"Medium"</formula>
    </cfRule>
    <cfRule type="cellIs" dxfId="15" priority="3" operator="equal">
      <formula>"High"</formula>
    </cfRule>
  </conditionalFormatting>
  <dataValidations count="1">
    <dataValidation type="list" allowBlank="1" showInputMessage="1" showErrorMessage="1" sqref="C11 C13 C2:C4" xr:uid="{29BF8B00-9C0C-4268-A756-092A025D56C5}">
      <formula1>"S2C,P2R,I2P,WHT,other"</formula1>
    </dataValidation>
  </dataValidations>
  <pageMargins left="0.7" right="0.7" top="0.78740157499999996" bottom="0.78740157499999996" header="0.3" footer="0.3"/>
  <customProperties>
    <customPr name="_pios_id" r:id="rId1"/>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8E9F729A-29D5-4BAF-872C-471B02EE109B}">
          <x14:formula1>
            <xm:f>Status!$A:$A</xm:f>
          </x14:formula1>
          <xm:sqref>Q1:Q1048576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076C0-47D4-4FCA-A3CE-B3F3CF20C336}">
  <sheetPr>
    <tabColor theme="9" tint="0.79998168889431442"/>
  </sheetPr>
  <dimension ref="A1:AK13"/>
  <sheetViews>
    <sheetView zoomScale="70" zoomScaleNormal="70" workbookViewId="0">
      <pane xSplit="10" ySplit="1" topLeftCell="W2" activePane="bottomRight" state="frozen"/>
      <selection pane="topRight" activeCell="K1" sqref="K1"/>
      <selection pane="bottomLeft" activeCell="A2" sqref="A2"/>
      <selection pane="bottomRight" activeCell="AI1" sqref="AI1"/>
    </sheetView>
  </sheetViews>
  <sheetFormatPr defaultColWidth="11.453125" defaultRowHeight="14.5" x14ac:dyDescent="0.35"/>
  <cols>
    <col min="1" max="1" width="13.81640625" style="5" customWidth="1"/>
    <col min="2" max="3" width="11.453125" style="5" hidden="1" customWidth="1"/>
    <col min="4" max="4" width="11.453125" style="11" hidden="1" customWidth="1"/>
    <col min="5" max="5" width="15.26953125" style="11" hidden="1" customWidth="1"/>
    <col min="6" max="6" width="11.453125" style="5" hidden="1" customWidth="1"/>
    <col min="7" max="7" width="4.453125" style="5" hidden="1" customWidth="1"/>
    <col min="8" max="8" width="27.1796875" style="5" hidden="1" customWidth="1"/>
    <col min="9" max="9" width="22" style="5" customWidth="1"/>
    <col min="10" max="10" width="55.1796875" style="5" customWidth="1"/>
    <col min="11" max="11" width="20.26953125" style="5" bestFit="1" customWidth="1"/>
    <col min="12" max="12" width="29.453125" style="5" bestFit="1" customWidth="1"/>
    <col min="13" max="13" width="48.54296875" style="5" bestFit="1" customWidth="1"/>
    <col min="14" max="14" width="41.54296875" style="5" customWidth="1"/>
    <col min="15" max="15" width="58.7265625" style="5" customWidth="1"/>
    <col min="16" max="16" width="31.1796875" style="5" customWidth="1"/>
    <col min="17" max="17" width="22.453125" style="5" customWidth="1"/>
    <col min="18" max="24" width="11.453125" style="5"/>
    <col min="25" max="25" width="11.453125" style="11"/>
    <col min="26" max="16384" width="11.453125" style="5"/>
  </cols>
  <sheetData>
    <row r="1" spans="1:37" ht="77.5" x14ac:dyDescent="0.35">
      <c r="A1" s="143" t="s">
        <v>1073</v>
      </c>
      <c r="B1" s="60" t="s">
        <v>36</v>
      </c>
      <c r="C1" s="60" t="s">
        <v>37</v>
      </c>
      <c r="D1" s="60" t="s">
        <v>38</v>
      </c>
      <c r="E1" s="60" t="s">
        <v>39</v>
      </c>
      <c r="F1" s="60" t="s">
        <v>2</v>
      </c>
      <c r="G1" s="60" t="s">
        <v>3</v>
      </c>
      <c r="H1" s="60" t="s">
        <v>4</v>
      </c>
      <c r="I1" s="60" t="s">
        <v>40</v>
      </c>
      <c r="J1" s="60" t="s">
        <v>41</v>
      </c>
      <c r="K1" s="60" t="s">
        <v>42</v>
      </c>
      <c r="L1" s="60" t="s">
        <v>43</v>
      </c>
      <c r="M1" s="60" t="s">
        <v>44</v>
      </c>
      <c r="N1" s="60" t="s">
        <v>45</v>
      </c>
      <c r="O1" s="91" t="s">
        <v>121</v>
      </c>
      <c r="P1" s="91" t="s">
        <v>1193</v>
      </c>
      <c r="Q1" s="91" t="s">
        <v>35</v>
      </c>
      <c r="R1" s="57" t="s">
        <v>47</v>
      </c>
      <c r="S1" s="57" t="s">
        <v>48</v>
      </c>
      <c r="T1" s="57" t="s">
        <v>49</v>
      </c>
      <c r="U1" s="57" t="s">
        <v>50</v>
      </c>
      <c r="V1" s="57" t="s">
        <v>51</v>
      </c>
      <c r="W1" s="57" t="s">
        <v>52</v>
      </c>
      <c r="X1" s="57" t="s">
        <v>53</v>
      </c>
      <c r="Y1" s="57" t="s">
        <v>54</v>
      </c>
      <c r="Z1" s="58" t="s">
        <v>55</v>
      </c>
      <c r="AA1" s="59" t="s">
        <v>56</v>
      </c>
      <c r="AB1" s="59" t="s">
        <v>57</v>
      </c>
      <c r="AC1" s="59" t="s">
        <v>58</v>
      </c>
      <c r="AD1" s="59" t="s">
        <v>59</v>
      </c>
      <c r="AE1" s="59" t="s">
        <v>60</v>
      </c>
      <c r="AF1" s="59" t="s">
        <v>61</v>
      </c>
      <c r="AG1" s="59" t="s">
        <v>62</v>
      </c>
      <c r="AH1" s="59" t="s">
        <v>63</v>
      </c>
      <c r="AI1" s="59" t="s">
        <v>64</v>
      </c>
      <c r="AJ1" s="59" t="s">
        <v>65</v>
      </c>
      <c r="AK1" s="59" t="s">
        <v>66</v>
      </c>
    </row>
    <row r="2" spans="1:37" ht="29" x14ac:dyDescent="0.35">
      <c r="A2" s="144" t="s">
        <v>1098</v>
      </c>
      <c r="H2" s="66" t="s">
        <v>166</v>
      </c>
      <c r="I2" s="68" t="s">
        <v>132</v>
      </c>
      <c r="J2" s="1" t="s">
        <v>167</v>
      </c>
      <c r="K2" s="1" t="s">
        <v>118</v>
      </c>
      <c r="L2" s="1" t="s">
        <v>168</v>
      </c>
      <c r="M2" s="1" t="s">
        <v>169</v>
      </c>
      <c r="N2" s="1"/>
      <c r="O2" s="94" t="s">
        <v>994</v>
      </c>
      <c r="P2" s="94" t="s">
        <v>1049</v>
      </c>
      <c r="Q2" s="138" t="s">
        <v>988</v>
      </c>
    </row>
    <row r="3" spans="1:37" ht="87" x14ac:dyDescent="0.35">
      <c r="A3" s="144" t="s">
        <v>1099</v>
      </c>
      <c r="H3" s="66" t="s">
        <v>170</v>
      </c>
      <c r="I3" s="68" t="s">
        <v>132</v>
      </c>
      <c r="J3" s="1" t="s">
        <v>171</v>
      </c>
      <c r="K3" s="1" t="s">
        <v>118</v>
      </c>
      <c r="L3" s="1" t="s">
        <v>168</v>
      </c>
      <c r="M3" s="1" t="s">
        <v>169</v>
      </c>
      <c r="N3" s="85" t="s">
        <v>1166</v>
      </c>
      <c r="O3" s="94" t="s">
        <v>1230</v>
      </c>
      <c r="P3" s="94" t="s">
        <v>1048</v>
      </c>
      <c r="Q3" s="138" t="s">
        <v>987</v>
      </c>
    </row>
    <row r="4" spans="1:37" ht="43.5" x14ac:dyDescent="0.35">
      <c r="A4" s="144" t="s">
        <v>1100</v>
      </c>
      <c r="B4" s="1"/>
      <c r="C4" s="1"/>
      <c r="D4" s="1"/>
      <c r="E4" s="1"/>
      <c r="H4" s="66" t="s">
        <v>172</v>
      </c>
      <c r="I4" s="68" t="s">
        <v>132</v>
      </c>
      <c r="J4" s="1" t="s">
        <v>173</v>
      </c>
      <c r="K4" s="1" t="s">
        <v>118</v>
      </c>
      <c r="L4" s="1" t="s">
        <v>174</v>
      </c>
      <c r="M4" s="1" t="s">
        <v>175</v>
      </c>
      <c r="N4" s="1"/>
      <c r="O4" s="94" t="s">
        <v>995</v>
      </c>
      <c r="P4" s="94" t="s">
        <v>1049</v>
      </c>
      <c r="Q4" s="138" t="s">
        <v>988</v>
      </c>
    </row>
    <row r="5" spans="1:37" ht="29" x14ac:dyDescent="0.35">
      <c r="A5" s="144" t="s">
        <v>1101</v>
      </c>
      <c r="B5" s="1"/>
      <c r="C5" s="1"/>
      <c r="D5" s="1"/>
      <c r="E5" s="1"/>
      <c r="H5" s="66" t="s">
        <v>176</v>
      </c>
      <c r="I5" s="68" t="s">
        <v>132</v>
      </c>
      <c r="J5" s="1" t="s">
        <v>177</v>
      </c>
      <c r="K5" s="1" t="s">
        <v>118</v>
      </c>
      <c r="L5" s="1" t="s">
        <v>178</v>
      </c>
      <c r="M5" s="1" t="s">
        <v>179</v>
      </c>
      <c r="N5" s="1"/>
      <c r="O5" s="94" t="s">
        <v>1047</v>
      </c>
      <c r="P5" s="94" t="s">
        <v>1049</v>
      </c>
      <c r="Q5" s="138" t="s">
        <v>988</v>
      </c>
    </row>
    <row r="6" spans="1:37" ht="72.5" x14ac:dyDescent="0.35">
      <c r="A6" s="144" t="s">
        <v>1102</v>
      </c>
      <c r="B6" s="1"/>
      <c r="C6" s="1"/>
      <c r="D6" s="1"/>
      <c r="E6" s="1"/>
      <c r="H6" s="66" t="s">
        <v>180</v>
      </c>
      <c r="I6" s="68" t="s">
        <v>132</v>
      </c>
      <c r="J6" s="61" t="s">
        <v>181</v>
      </c>
      <c r="K6" s="61"/>
      <c r="L6" s="61" t="s">
        <v>124</v>
      </c>
      <c r="M6" s="1" t="s">
        <v>182</v>
      </c>
      <c r="N6" s="1"/>
      <c r="O6" s="94" t="s">
        <v>996</v>
      </c>
      <c r="P6" s="94" t="s">
        <v>1048</v>
      </c>
      <c r="Q6" s="138" t="s">
        <v>988</v>
      </c>
    </row>
    <row r="7" spans="1:37" ht="72" customHeight="1" x14ac:dyDescent="0.35">
      <c r="A7" s="144" t="s">
        <v>1103</v>
      </c>
      <c r="B7" s="1"/>
      <c r="C7" s="1"/>
      <c r="D7" s="1"/>
      <c r="E7" s="1"/>
      <c r="H7" s="66" t="s">
        <v>183</v>
      </c>
      <c r="I7" s="68" t="s">
        <v>132</v>
      </c>
      <c r="J7" s="1" t="s">
        <v>184</v>
      </c>
      <c r="K7" s="1"/>
      <c r="L7" s="1" t="s">
        <v>185</v>
      </c>
      <c r="M7" s="61" t="s">
        <v>186</v>
      </c>
      <c r="N7" s="1"/>
      <c r="O7" s="94" t="s">
        <v>1044</v>
      </c>
      <c r="P7" s="94" t="s">
        <v>1049</v>
      </c>
      <c r="Q7" s="138" t="s">
        <v>989</v>
      </c>
    </row>
    <row r="8" spans="1:37" ht="96" customHeight="1" x14ac:dyDescent="0.35">
      <c r="A8" s="144" t="s">
        <v>1104</v>
      </c>
      <c r="B8" s="1"/>
      <c r="C8" s="1"/>
      <c r="D8" s="1"/>
      <c r="E8" s="1"/>
      <c r="H8" s="66" t="s">
        <v>187</v>
      </c>
      <c r="I8" s="68" t="s">
        <v>188</v>
      </c>
      <c r="J8" s="1" t="s">
        <v>189</v>
      </c>
      <c r="K8" s="1"/>
      <c r="L8" s="61" t="s">
        <v>124</v>
      </c>
      <c r="M8" s="61" t="s">
        <v>190</v>
      </c>
      <c r="N8" s="1"/>
      <c r="O8" s="94" t="s">
        <v>1045</v>
      </c>
      <c r="P8" s="94" t="s">
        <v>1165</v>
      </c>
      <c r="Q8" s="138" t="s">
        <v>989</v>
      </c>
    </row>
    <row r="9" spans="1:37" ht="72" customHeight="1" x14ac:dyDescent="0.35">
      <c r="A9" s="144" t="s">
        <v>1105</v>
      </c>
      <c r="B9" s="1"/>
      <c r="C9" s="1"/>
      <c r="D9" s="1"/>
      <c r="E9" s="1"/>
      <c r="H9" s="66" t="s">
        <v>191</v>
      </c>
      <c r="I9" s="68" t="s">
        <v>188</v>
      </c>
      <c r="J9" s="1" t="s">
        <v>192</v>
      </c>
      <c r="K9" s="1"/>
      <c r="L9" s="1" t="s">
        <v>185</v>
      </c>
      <c r="M9" s="61" t="s">
        <v>193</v>
      </c>
      <c r="N9" s="1"/>
      <c r="O9" s="94" t="s">
        <v>1046</v>
      </c>
      <c r="P9" s="94" t="s">
        <v>1049</v>
      </c>
      <c r="Q9" s="138" t="s">
        <v>990</v>
      </c>
    </row>
    <row r="10" spans="1:37" ht="72.5" x14ac:dyDescent="0.35">
      <c r="A10" s="144" t="s">
        <v>1106</v>
      </c>
      <c r="B10" s="1"/>
      <c r="C10" s="1"/>
      <c r="D10" s="1"/>
      <c r="E10" s="1"/>
      <c r="H10" s="66" t="s">
        <v>194</v>
      </c>
      <c r="I10" s="68" t="s">
        <v>195</v>
      </c>
      <c r="J10" s="1" t="s">
        <v>196</v>
      </c>
      <c r="K10" s="1" t="s">
        <v>118</v>
      </c>
      <c r="L10" s="1" t="s">
        <v>197</v>
      </c>
      <c r="M10" s="1" t="s">
        <v>198</v>
      </c>
      <c r="N10" s="85" t="s">
        <v>199</v>
      </c>
      <c r="O10" s="94" t="s">
        <v>1062</v>
      </c>
      <c r="P10" s="94" t="s">
        <v>1048</v>
      </c>
      <c r="Q10" s="94" t="s">
        <v>990</v>
      </c>
    </row>
    <row r="11" spans="1:37" ht="58" x14ac:dyDescent="0.35">
      <c r="A11" s="144" t="s">
        <v>1107</v>
      </c>
      <c r="B11" s="1"/>
      <c r="C11" s="1"/>
      <c r="D11" s="1"/>
      <c r="E11" s="1"/>
      <c r="H11" s="66" t="s">
        <v>200</v>
      </c>
      <c r="I11" s="92" t="s">
        <v>116</v>
      </c>
      <c r="J11" s="93" t="s">
        <v>201</v>
      </c>
      <c r="K11" s="93" t="s">
        <v>118</v>
      </c>
      <c r="L11" s="93" t="s">
        <v>202</v>
      </c>
      <c r="M11" s="93" t="s">
        <v>203</v>
      </c>
      <c r="N11" s="85" t="s">
        <v>120</v>
      </c>
      <c r="O11" s="94" t="s">
        <v>1064</v>
      </c>
      <c r="P11" s="94" t="s">
        <v>1048</v>
      </c>
      <c r="Q11" s="94" t="s">
        <v>987</v>
      </c>
    </row>
    <row r="12" spans="1:37" ht="87" x14ac:dyDescent="0.35">
      <c r="A12" s="144" t="s">
        <v>1108</v>
      </c>
      <c r="B12" s="1"/>
      <c r="C12" s="1"/>
      <c r="D12" s="1"/>
      <c r="E12" s="1"/>
      <c r="H12" s="66" t="s">
        <v>204</v>
      </c>
      <c r="I12" s="68" t="s">
        <v>132</v>
      </c>
      <c r="J12" s="1" t="s">
        <v>205</v>
      </c>
      <c r="K12" s="1" t="s">
        <v>118</v>
      </c>
      <c r="L12" s="1" t="s">
        <v>206</v>
      </c>
      <c r="M12" s="1" t="s">
        <v>207</v>
      </c>
      <c r="N12" s="85" t="s">
        <v>120</v>
      </c>
      <c r="O12" s="94" t="s">
        <v>1063</v>
      </c>
      <c r="P12" s="94" t="s">
        <v>1048</v>
      </c>
      <c r="Q12" s="94" t="s">
        <v>990</v>
      </c>
    </row>
    <row r="13" spans="1:37" ht="130.5" x14ac:dyDescent="0.35">
      <c r="A13" s="144" t="s">
        <v>1109</v>
      </c>
      <c r="B13" s="1"/>
      <c r="C13" s="1"/>
      <c r="D13" s="1"/>
      <c r="E13" s="1"/>
      <c r="H13" s="66" t="s">
        <v>208</v>
      </c>
      <c r="I13" s="92" t="s">
        <v>116</v>
      </c>
      <c r="J13" s="1" t="s">
        <v>117</v>
      </c>
      <c r="K13" s="1" t="s">
        <v>118</v>
      </c>
      <c r="L13" s="1" t="s">
        <v>209</v>
      </c>
      <c r="M13" s="1"/>
      <c r="N13" s="85" t="s">
        <v>120</v>
      </c>
      <c r="O13" s="94" t="s">
        <v>1065</v>
      </c>
      <c r="P13" s="94" t="s">
        <v>1049</v>
      </c>
      <c r="Q13" s="94" t="s">
        <v>990</v>
      </c>
    </row>
  </sheetData>
  <autoFilter ref="B1:AK13" xr:uid="{778076C0-47D4-4FCA-A3CE-B3F3CF20C336}"/>
  <phoneticPr fontId="9" type="noConversion"/>
  <conditionalFormatting sqref="P1:P1048576">
    <cfRule type="cellIs" dxfId="14" priority="1" operator="equal">
      <formula>"Low"</formula>
    </cfRule>
    <cfRule type="cellIs" dxfId="13" priority="2" operator="equal">
      <formula>"Medium"</formula>
    </cfRule>
    <cfRule type="cellIs" dxfId="12" priority="3" operator="equal">
      <formula>"High"</formula>
    </cfRule>
  </conditionalFormatting>
  <pageMargins left="0.7" right="0.7" top="0.75" bottom="0.75" header="0.3" footer="0.3"/>
  <pageSetup orientation="portrait" r:id="rId1"/>
  <customProperties>
    <customPr name="_pios_id" r:id="rId2"/>
    <customPr name="EpmWorksheetKeyString_GUID" r:id="rId3"/>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F0F32ACC-118A-4448-9DDF-82BAA7C3C7FE}">
          <x14:formula1>
            <xm:f>Status!$A:$A</xm:f>
          </x14:formula1>
          <xm:sqref>Q1:Q1048576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157FC-5022-49E0-96AA-BF6BB3F7E36C}">
  <sheetPr>
    <tabColor theme="9" tint="0.79998168889431442"/>
  </sheetPr>
  <dimension ref="A1:AK34"/>
  <sheetViews>
    <sheetView zoomScale="70" zoomScaleNormal="70" workbookViewId="0">
      <pane xSplit="10" ySplit="1" topLeftCell="K16" activePane="bottomRight" state="frozen"/>
      <selection pane="topRight" activeCell="K1" sqref="K1"/>
      <selection pane="bottomLeft" activeCell="A2" sqref="A2"/>
      <selection pane="bottomRight" activeCell="M41" sqref="M41"/>
    </sheetView>
  </sheetViews>
  <sheetFormatPr defaultColWidth="11.453125" defaultRowHeight="14.5" x14ac:dyDescent="0.35"/>
  <cols>
    <col min="1" max="1" width="13.81640625" style="5" customWidth="1"/>
    <col min="2" max="3" width="11.453125" style="5" hidden="1" customWidth="1"/>
    <col min="4" max="5" width="11.453125" style="11" hidden="1" customWidth="1"/>
    <col min="6" max="7" width="11.453125" style="5" hidden="1" customWidth="1"/>
    <col min="8" max="8" width="39.26953125" style="5" hidden="1" customWidth="1"/>
    <col min="9" max="9" width="13.54296875" style="5" customWidth="1"/>
    <col min="10" max="10" width="59.7265625" style="5" customWidth="1"/>
    <col min="11" max="11" width="52.7265625" style="5" customWidth="1"/>
    <col min="12" max="12" width="32" style="5" customWidth="1"/>
    <col min="13" max="13" width="43.54296875" style="5" customWidth="1"/>
    <col min="14" max="14" width="51.54296875" style="5" customWidth="1"/>
    <col min="15" max="15" width="59.453125" style="5" customWidth="1"/>
    <col min="16" max="16" width="18.453125" style="5" customWidth="1"/>
    <col min="17" max="17" width="38.26953125" style="5" customWidth="1"/>
    <col min="18" max="24" width="11.453125" style="5"/>
    <col min="25" max="25" width="11.453125" style="11"/>
    <col min="26" max="16384" width="11.453125" style="5"/>
  </cols>
  <sheetData>
    <row r="1" spans="1:37" ht="77.5" x14ac:dyDescent="0.35">
      <c r="A1" s="143" t="s">
        <v>1073</v>
      </c>
      <c r="B1" s="60" t="s">
        <v>36</v>
      </c>
      <c r="C1" s="60" t="s">
        <v>37</v>
      </c>
      <c r="D1" s="60" t="s">
        <v>38</v>
      </c>
      <c r="E1" s="60" t="s">
        <v>39</v>
      </c>
      <c r="F1" s="60" t="s">
        <v>2</v>
      </c>
      <c r="G1" s="60" t="s">
        <v>3</v>
      </c>
      <c r="H1" s="60" t="s">
        <v>4</v>
      </c>
      <c r="I1" s="60" t="s">
        <v>40</v>
      </c>
      <c r="J1" s="60" t="s">
        <v>41</v>
      </c>
      <c r="K1" s="60" t="s">
        <v>42</v>
      </c>
      <c r="L1" s="60" t="s">
        <v>43</v>
      </c>
      <c r="M1" s="60" t="s">
        <v>44</v>
      </c>
      <c r="N1" s="60" t="s">
        <v>45</v>
      </c>
      <c r="O1" s="91" t="s">
        <v>121</v>
      </c>
      <c r="P1" s="91" t="s">
        <v>1193</v>
      </c>
      <c r="Q1" s="91" t="s">
        <v>35</v>
      </c>
      <c r="R1" s="57" t="s">
        <v>47</v>
      </c>
      <c r="S1" s="57" t="s">
        <v>48</v>
      </c>
      <c r="T1" s="57" t="s">
        <v>49</v>
      </c>
      <c r="U1" s="57" t="s">
        <v>50</v>
      </c>
      <c r="V1" s="57" t="s">
        <v>51</v>
      </c>
      <c r="W1" s="57" t="s">
        <v>52</v>
      </c>
      <c r="X1" s="57" t="s">
        <v>53</v>
      </c>
      <c r="Y1" s="57" t="s">
        <v>54</v>
      </c>
      <c r="Z1" s="58" t="s">
        <v>55</v>
      </c>
      <c r="AA1" s="59" t="s">
        <v>56</v>
      </c>
      <c r="AB1" s="59" t="s">
        <v>57</v>
      </c>
      <c r="AC1" s="59" t="s">
        <v>58</v>
      </c>
      <c r="AD1" s="59" t="s">
        <v>59</v>
      </c>
      <c r="AE1" s="59" t="s">
        <v>60</v>
      </c>
      <c r="AF1" s="59" t="s">
        <v>61</v>
      </c>
      <c r="AG1" s="59" t="s">
        <v>62</v>
      </c>
      <c r="AH1" s="59" t="s">
        <v>63</v>
      </c>
      <c r="AI1" s="59" t="s">
        <v>64</v>
      </c>
      <c r="AJ1" s="59" t="s">
        <v>65</v>
      </c>
      <c r="AK1" s="59" t="s">
        <v>66</v>
      </c>
    </row>
    <row r="2" spans="1:37" ht="112.5" customHeight="1" x14ac:dyDescent="0.35">
      <c r="A2" s="144" t="s">
        <v>1110</v>
      </c>
      <c r="B2" s="4"/>
      <c r="C2" s="4"/>
      <c r="D2" s="4"/>
      <c r="E2" s="4"/>
      <c r="F2" s="4"/>
      <c r="G2" s="4"/>
      <c r="H2" s="66" t="s">
        <v>210</v>
      </c>
      <c r="I2" s="1" t="s">
        <v>106</v>
      </c>
      <c r="J2" s="1" t="s">
        <v>1066</v>
      </c>
      <c r="K2" s="1"/>
      <c r="L2" s="4" t="s">
        <v>211</v>
      </c>
      <c r="M2" s="4"/>
      <c r="N2" s="84"/>
      <c r="O2" s="122" t="s">
        <v>1050</v>
      </c>
      <c r="P2" s="122" t="s">
        <v>1049</v>
      </c>
      <c r="Q2" s="139" t="s">
        <v>990</v>
      </c>
    </row>
    <row r="3" spans="1:37" ht="77.5" customHeight="1" x14ac:dyDescent="0.35">
      <c r="A3" s="144" t="s">
        <v>1111</v>
      </c>
      <c r="B3" s="4"/>
      <c r="C3" s="4"/>
      <c r="D3" s="4"/>
      <c r="E3" s="4"/>
      <c r="F3" s="4"/>
      <c r="G3" s="4"/>
      <c r="H3" s="66" t="s">
        <v>210</v>
      </c>
      <c r="I3" s="86" t="s">
        <v>212</v>
      </c>
      <c r="J3" s="1" t="s">
        <v>213</v>
      </c>
      <c r="K3" s="1"/>
      <c r="L3" s="4" t="s">
        <v>214</v>
      </c>
      <c r="M3" s="4" t="s">
        <v>215</v>
      </c>
      <c r="N3" s="84"/>
      <c r="O3" s="122" t="s">
        <v>997</v>
      </c>
      <c r="P3" s="122" t="s">
        <v>1049</v>
      </c>
      <c r="Q3" s="139" t="s">
        <v>989</v>
      </c>
    </row>
    <row r="4" spans="1:37" ht="43.5" x14ac:dyDescent="0.35">
      <c r="A4" s="144" t="s">
        <v>1112</v>
      </c>
      <c r="B4" s="4"/>
      <c r="C4" s="4"/>
      <c r="D4" s="4"/>
      <c r="E4" s="4"/>
      <c r="F4" s="4"/>
      <c r="G4" s="4"/>
      <c r="H4" s="66" t="s">
        <v>216</v>
      </c>
      <c r="I4" s="86" t="s">
        <v>212</v>
      </c>
      <c r="J4" s="1" t="s">
        <v>217</v>
      </c>
      <c r="K4" s="1"/>
      <c r="L4" s="1" t="s">
        <v>218</v>
      </c>
      <c r="M4" s="1" t="s">
        <v>219</v>
      </c>
      <c r="N4" s="84"/>
      <c r="O4" s="122" t="s">
        <v>1069</v>
      </c>
      <c r="P4" s="122" t="s">
        <v>1048</v>
      </c>
      <c r="Q4" s="139" t="s">
        <v>988</v>
      </c>
    </row>
    <row r="5" spans="1:37" ht="43.5" x14ac:dyDescent="0.35">
      <c r="A5" s="144" t="s">
        <v>1113</v>
      </c>
      <c r="B5" s="4"/>
      <c r="C5" s="4"/>
      <c r="D5" s="4"/>
      <c r="E5" s="4"/>
      <c r="F5" s="4"/>
      <c r="G5" s="4"/>
      <c r="H5" s="66" t="s">
        <v>220</v>
      </c>
      <c r="I5" s="86" t="s">
        <v>212</v>
      </c>
      <c r="J5" s="1" t="s">
        <v>221</v>
      </c>
      <c r="K5" s="1"/>
      <c r="L5" s="1"/>
      <c r="M5" s="1"/>
      <c r="N5" s="84"/>
      <c r="O5" s="122" t="s">
        <v>1051</v>
      </c>
      <c r="P5" s="122" t="s">
        <v>1049</v>
      </c>
      <c r="Q5" s="139" t="s">
        <v>988</v>
      </c>
    </row>
    <row r="6" spans="1:37" ht="101.5" x14ac:dyDescent="0.35">
      <c r="A6" s="144" t="s">
        <v>1114</v>
      </c>
      <c r="B6" s="4"/>
      <c r="C6" s="4"/>
      <c r="D6" s="4"/>
      <c r="E6" s="4"/>
      <c r="F6" s="4"/>
      <c r="G6" s="4"/>
      <c r="H6" s="66" t="s">
        <v>222</v>
      </c>
      <c r="I6" s="86" t="s">
        <v>212</v>
      </c>
      <c r="J6" s="1" t="s">
        <v>223</v>
      </c>
      <c r="K6" s="1" t="s">
        <v>118</v>
      </c>
      <c r="L6" s="1" t="s">
        <v>224</v>
      </c>
      <c r="M6" s="1" t="s">
        <v>225</v>
      </c>
      <c r="N6" s="84"/>
      <c r="O6" s="122" t="s">
        <v>1070</v>
      </c>
      <c r="P6" s="122" t="s">
        <v>1165</v>
      </c>
      <c r="Q6" s="139" t="s">
        <v>990</v>
      </c>
    </row>
    <row r="7" spans="1:37" ht="72.5" x14ac:dyDescent="0.35">
      <c r="A7" s="144" t="s">
        <v>1115</v>
      </c>
      <c r="B7" s="4"/>
      <c r="C7" s="4"/>
      <c r="D7" s="4"/>
      <c r="E7" s="4"/>
      <c r="F7" s="4"/>
      <c r="G7" s="4"/>
      <c r="H7" s="66" t="s">
        <v>226</v>
      </c>
      <c r="I7" s="86" t="s">
        <v>212</v>
      </c>
      <c r="J7" s="1" t="s">
        <v>227</v>
      </c>
      <c r="K7" s="1" t="s">
        <v>118</v>
      </c>
      <c r="L7" s="1" t="s">
        <v>228</v>
      </c>
      <c r="M7" s="1" t="s">
        <v>229</v>
      </c>
      <c r="N7" s="84"/>
      <c r="O7" s="122" t="s">
        <v>998</v>
      </c>
      <c r="P7" s="122" t="s">
        <v>1048</v>
      </c>
      <c r="Q7" s="139" t="s">
        <v>988</v>
      </c>
    </row>
    <row r="8" spans="1:37" ht="174" x14ac:dyDescent="0.35">
      <c r="A8" s="144" t="s">
        <v>1116</v>
      </c>
      <c r="B8" s="4"/>
      <c r="C8" s="4"/>
      <c r="D8" s="4"/>
      <c r="E8" s="4"/>
      <c r="F8" s="4"/>
      <c r="G8" s="4"/>
      <c r="H8" s="66" t="s">
        <v>230</v>
      </c>
      <c r="I8" s="86" t="s">
        <v>212</v>
      </c>
      <c r="J8" s="1" t="s">
        <v>231</v>
      </c>
      <c r="K8" s="1" t="s">
        <v>232</v>
      </c>
      <c r="L8" s="1" t="s">
        <v>233</v>
      </c>
      <c r="M8" s="1" t="s">
        <v>234</v>
      </c>
      <c r="N8" s="84" t="s">
        <v>235</v>
      </c>
      <c r="O8" s="122" t="s">
        <v>1228</v>
      </c>
      <c r="P8" s="122" t="s">
        <v>1048</v>
      </c>
      <c r="Q8" s="139" t="s">
        <v>990</v>
      </c>
    </row>
    <row r="9" spans="1:37" ht="101.5" x14ac:dyDescent="0.35">
      <c r="A9" s="144" t="s">
        <v>1117</v>
      </c>
      <c r="B9" s="4"/>
      <c r="C9" s="4"/>
      <c r="D9" s="4"/>
      <c r="E9" s="4"/>
      <c r="F9" s="4"/>
      <c r="G9" s="4"/>
      <c r="H9" s="66" t="s">
        <v>236</v>
      </c>
      <c r="I9" s="1" t="s">
        <v>237</v>
      </c>
      <c r="J9" s="1" t="s">
        <v>238</v>
      </c>
      <c r="K9" s="1"/>
      <c r="L9" s="1" t="s">
        <v>239</v>
      </c>
      <c r="M9" s="1" t="s">
        <v>240</v>
      </c>
      <c r="N9" s="84" t="s">
        <v>1167</v>
      </c>
      <c r="O9" s="122" t="s">
        <v>999</v>
      </c>
      <c r="P9" s="122"/>
      <c r="Q9" s="149" t="s">
        <v>992</v>
      </c>
    </row>
    <row r="10" spans="1:37" ht="116" x14ac:dyDescent="0.35">
      <c r="A10" s="144" t="s">
        <v>1118</v>
      </c>
      <c r="B10" s="4"/>
      <c r="C10" s="4"/>
      <c r="D10" s="4"/>
      <c r="E10" s="4"/>
      <c r="F10" s="4"/>
      <c r="G10" s="4"/>
      <c r="H10" s="66" t="s">
        <v>241</v>
      </c>
      <c r="I10" s="1" t="s">
        <v>237</v>
      </c>
      <c r="J10" s="1" t="s">
        <v>242</v>
      </c>
      <c r="K10" s="1"/>
      <c r="L10" s="1" t="s">
        <v>239</v>
      </c>
      <c r="M10" s="1" t="s">
        <v>243</v>
      </c>
      <c r="N10" s="84" t="s">
        <v>1168</v>
      </c>
      <c r="O10" s="122" t="s">
        <v>1000</v>
      </c>
      <c r="P10" s="122"/>
      <c r="Q10" s="149" t="s">
        <v>992</v>
      </c>
    </row>
    <row r="11" spans="1:37" ht="81" customHeight="1" x14ac:dyDescent="0.35">
      <c r="A11" s="144" t="s">
        <v>1119</v>
      </c>
      <c r="B11" s="4"/>
      <c r="C11" s="4"/>
      <c r="D11" s="4"/>
      <c r="E11" s="4"/>
      <c r="F11" s="4"/>
      <c r="G11" s="4"/>
      <c r="H11" s="66" t="s">
        <v>244</v>
      </c>
      <c r="I11" s="88" t="s">
        <v>245</v>
      </c>
      <c r="J11" s="1" t="s">
        <v>246</v>
      </c>
      <c r="K11" s="1"/>
      <c r="L11" s="1" t="s">
        <v>247</v>
      </c>
      <c r="M11" s="1" t="s">
        <v>248</v>
      </c>
      <c r="N11" s="84"/>
      <c r="O11" s="122" t="s">
        <v>1001</v>
      </c>
      <c r="P11" s="122" t="s">
        <v>1165</v>
      </c>
      <c r="Q11" s="139" t="s">
        <v>990</v>
      </c>
    </row>
    <row r="12" spans="1:37" ht="72.5" x14ac:dyDescent="0.35">
      <c r="A12" s="144" t="s">
        <v>1120</v>
      </c>
      <c r="B12" s="4"/>
      <c r="C12" s="4"/>
      <c r="D12" s="4"/>
      <c r="E12" s="4"/>
      <c r="F12" s="4"/>
      <c r="G12" s="4"/>
      <c r="H12" s="66" t="s">
        <v>249</v>
      </c>
      <c r="I12" s="88" t="s">
        <v>245</v>
      </c>
      <c r="J12" s="1" t="s">
        <v>250</v>
      </c>
      <c r="K12" s="1"/>
      <c r="L12" s="1" t="s">
        <v>251</v>
      </c>
      <c r="M12" s="1" t="s">
        <v>252</v>
      </c>
      <c r="N12" s="84"/>
      <c r="O12" s="122" t="s">
        <v>1052</v>
      </c>
      <c r="P12" s="122" t="s">
        <v>1049</v>
      </c>
      <c r="Q12" s="139" t="s">
        <v>988</v>
      </c>
    </row>
    <row r="13" spans="1:37" ht="87" x14ac:dyDescent="0.35">
      <c r="A13" s="144" t="s">
        <v>1121</v>
      </c>
      <c r="B13" s="4"/>
      <c r="C13" s="4"/>
      <c r="D13" s="4"/>
      <c r="E13" s="4"/>
      <c r="F13" s="4"/>
      <c r="G13" s="4"/>
      <c r="H13" s="66" t="s">
        <v>253</v>
      </c>
      <c r="I13" s="88" t="s">
        <v>245</v>
      </c>
      <c r="J13" s="1" t="s">
        <v>254</v>
      </c>
      <c r="K13" s="1"/>
      <c r="L13" s="1" t="s">
        <v>255</v>
      </c>
      <c r="M13" s="1" t="s">
        <v>256</v>
      </c>
      <c r="N13" s="84"/>
      <c r="O13" s="122" t="s">
        <v>1053</v>
      </c>
      <c r="P13" s="122" t="s">
        <v>1049</v>
      </c>
      <c r="Q13" s="139" t="s">
        <v>988</v>
      </c>
    </row>
    <row r="14" spans="1:37" ht="101.5" x14ac:dyDescent="0.35">
      <c r="A14" s="144" t="s">
        <v>1122</v>
      </c>
      <c r="B14" s="4"/>
      <c r="C14" s="4"/>
      <c r="D14" s="4"/>
      <c r="E14" s="4"/>
      <c r="F14" s="4"/>
      <c r="G14" s="4"/>
      <c r="H14" s="66" t="s">
        <v>257</v>
      </c>
      <c r="I14" s="88" t="s">
        <v>245</v>
      </c>
      <c r="J14" s="1" t="s">
        <v>258</v>
      </c>
      <c r="K14" s="1"/>
      <c r="L14" s="1" t="s">
        <v>251</v>
      </c>
      <c r="M14" s="1" t="s">
        <v>259</v>
      </c>
      <c r="N14" s="84"/>
      <c r="O14" s="122" t="s">
        <v>1002</v>
      </c>
      <c r="P14" s="122" t="s">
        <v>1049</v>
      </c>
      <c r="Q14" s="139" t="s">
        <v>988</v>
      </c>
    </row>
    <row r="15" spans="1:37" ht="87" x14ac:dyDescent="0.35">
      <c r="A15" s="144" t="s">
        <v>1123</v>
      </c>
      <c r="B15" s="4"/>
      <c r="C15" s="4"/>
      <c r="D15" s="4"/>
      <c r="E15" s="4"/>
      <c r="F15" s="4"/>
      <c r="G15" s="4"/>
      <c r="H15" s="66" t="s">
        <v>257</v>
      </c>
      <c r="I15" s="88" t="s">
        <v>245</v>
      </c>
      <c r="J15" s="1" t="s">
        <v>260</v>
      </c>
      <c r="K15" s="1"/>
      <c r="L15" s="1" t="s">
        <v>251</v>
      </c>
      <c r="M15" s="1" t="s">
        <v>261</v>
      </c>
      <c r="N15" s="84" t="s">
        <v>262</v>
      </c>
      <c r="O15" s="122" t="s">
        <v>1071</v>
      </c>
      <c r="P15" s="122" t="s">
        <v>1049</v>
      </c>
      <c r="Q15" s="139" t="s">
        <v>990</v>
      </c>
    </row>
    <row r="16" spans="1:37" ht="101.5" x14ac:dyDescent="0.35">
      <c r="A16" s="144" t="s">
        <v>1124</v>
      </c>
      <c r="B16" s="4"/>
      <c r="C16" s="4"/>
      <c r="D16" s="4"/>
      <c r="E16" s="4"/>
      <c r="F16" s="4"/>
      <c r="G16" s="4"/>
      <c r="H16" s="66" t="s">
        <v>263</v>
      </c>
      <c r="I16" s="88" t="s">
        <v>245</v>
      </c>
      <c r="J16" s="1" t="s">
        <v>264</v>
      </c>
      <c r="K16" s="1"/>
      <c r="L16" s="1" t="s">
        <v>265</v>
      </c>
      <c r="M16" s="1" t="s">
        <v>266</v>
      </c>
      <c r="N16" s="84"/>
      <c r="O16" s="122" t="s">
        <v>1072</v>
      </c>
      <c r="P16" s="122" t="s">
        <v>1049</v>
      </c>
      <c r="Q16" s="139" t="s">
        <v>990</v>
      </c>
    </row>
    <row r="17" spans="1:17" ht="130.5" x14ac:dyDescent="0.35">
      <c r="A17" s="144" t="s">
        <v>1125</v>
      </c>
      <c r="B17" s="4"/>
      <c r="C17" s="4"/>
      <c r="D17" s="4"/>
      <c r="E17" s="4"/>
      <c r="F17" s="4"/>
      <c r="G17" s="4"/>
      <c r="H17" s="66" t="s">
        <v>267</v>
      </c>
      <c r="I17" s="88" t="s">
        <v>245</v>
      </c>
      <c r="J17" s="1" t="s">
        <v>268</v>
      </c>
      <c r="K17" s="1"/>
      <c r="L17" s="1" t="s">
        <v>269</v>
      </c>
      <c r="M17" s="1" t="s">
        <v>270</v>
      </c>
      <c r="N17" s="84"/>
      <c r="O17" s="122" t="s">
        <v>1003</v>
      </c>
      <c r="P17" s="122" t="s">
        <v>1049</v>
      </c>
      <c r="Q17" s="139" t="s">
        <v>989</v>
      </c>
    </row>
    <row r="18" spans="1:17" ht="87" x14ac:dyDescent="0.35">
      <c r="A18" s="144" t="s">
        <v>1126</v>
      </c>
      <c r="B18" s="4"/>
      <c r="C18" s="4"/>
      <c r="D18" s="4"/>
      <c r="E18" s="4"/>
      <c r="F18" s="4"/>
      <c r="G18" s="4"/>
      <c r="H18" s="66" t="s">
        <v>271</v>
      </c>
      <c r="I18" s="145" t="s">
        <v>245</v>
      </c>
      <c r="J18" s="85" t="s">
        <v>272</v>
      </c>
      <c r="K18" s="1"/>
      <c r="L18" s="1" t="s">
        <v>273</v>
      </c>
      <c r="M18" s="1" t="s">
        <v>274</v>
      </c>
      <c r="N18" s="179" t="s">
        <v>1232</v>
      </c>
      <c r="O18" s="122" t="s">
        <v>1162</v>
      </c>
      <c r="P18" s="122" t="s">
        <v>1049</v>
      </c>
      <c r="Q18" s="139" t="s">
        <v>988</v>
      </c>
    </row>
    <row r="19" spans="1:17" ht="43.15" customHeight="1" x14ac:dyDescent="0.35">
      <c r="A19" s="144" t="s">
        <v>1127</v>
      </c>
      <c r="B19" s="4"/>
      <c r="C19" s="4"/>
      <c r="D19" s="4"/>
      <c r="E19" s="4"/>
      <c r="F19" s="4"/>
      <c r="G19" s="4"/>
      <c r="H19" s="66" t="s">
        <v>275</v>
      </c>
      <c r="I19" s="145" t="s">
        <v>245</v>
      </c>
      <c r="J19" s="85" t="s">
        <v>1233</v>
      </c>
      <c r="K19" s="1"/>
      <c r="L19" s="1" t="s">
        <v>277</v>
      </c>
      <c r="M19" s="1" t="s">
        <v>278</v>
      </c>
      <c r="N19" s="180" t="s">
        <v>1231</v>
      </c>
      <c r="O19" s="122"/>
      <c r="P19" s="122" t="s">
        <v>1049</v>
      </c>
      <c r="Q19" s="139" t="s">
        <v>991</v>
      </c>
    </row>
    <row r="20" spans="1:17" ht="43.5" x14ac:dyDescent="0.35">
      <c r="A20" s="144" t="s">
        <v>1128</v>
      </c>
      <c r="B20" s="4"/>
      <c r="C20" s="4"/>
      <c r="D20" s="4"/>
      <c r="E20" s="4"/>
      <c r="F20" s="4"/>
      <c r="G20" s="4"/>
      <c r="H20" s="66" t="s">
        <v>279</v>
      </c>
      <c r="I20" s="88" t="s">
        <v>245</v>
      </c>
      <c r="J20" s="1" t="s">
        <v>280</v>
      </c>
      <c r="K20" s="1"/>
      <c r="L20" s="1" t="s">
        <v>281</v>
      </c>
      <c r="M20" s="1" t="s">
        <v>282</v>
      </c>
      <c r="N20" s="84"/>
      <c r="O20" s="122" t="s">
        <v>1004</v>
      </c>
      <c r="P20" s="122" t="s">
        <v>1165</v>
      </c>
      <c r="Q20" s="139" t="s">
        <v>990</v>
      </c>
    </row>
    <row r="21" spans="1:17" ht="169.5" customHeight="1" x14ac:dyDescent="0.35">
      <c r="A21" s="144" t="s">
        <v>1129</v>
      </c>
      <c r="B21" s="4"/>
      <c r="C21" s="4"/>
      <c r="D21" s="4"/>
      <c r="E21" s="4"/>
      <c r="F21" s="4"/>
      <c r="G21" s="4"/>
      <c r="H21" s="66" t="s">
        <v>283</v>
      </c>
      <c r="I21" s="88" t="s">
        <v>245</v>
      </c>
      <c r="J21" s="1" t="s">
        <v>284</v>
      </c>
      <c r="K21" s="1"/>
      <c r="L21" s="1" t="s">
        <v>285</v>
      </c>
      <c r="M21" s="1" t="s">
        <v>286</v>
      </c>
      <c r="N21" s="84"/>
      <c r="O21" s="122" t="s">
        <v>1163</v>
      </c>
      <c r="P21" s="122" t="s">
        <v>1049</v>
      </c>
      <c r="Q21" s="139" t="s">
        <v>990</v>
      </c>
    </row>
    <row r="22" spans="1:17" ht="72.5" x14ac:dyDescent="0.35">
      <c r="A22" s="144" t="s">
        <v>1130</v>
      </c>
      <c r="B22" s="4"/>
      <c r="C22" s="4"/>
      <c r="D22" s="4"/>
      <c r="E22" s="4"/>
      <c r="F22" s="4"/>
      <c r="G22" s="4"/>
      <c r="H22" s="66" t="s">
        <v>220</v>
      </c>
      <c r="I22" s="88" t="s">
        <v>245</v>
      </c>
      <c r="J22" s="1" t="s">
        <v>287</v>
      </c>
      <c r="K22" s="1" t="s">
        <v>118</v>
      </c>
      <c r="L22" s="1" t="s">
        <v>288</v>
      </c>
      <c r="M22" s="1" t="s">
        <v>289</v>
      </c>
      <c r="N22" s="84"/>
      <c r="O22" s="122" t="s">
        <v>1055</v>
      </c>
      <c r="P22" s="122" t="s">
        <v>1049</v>
      </c>
      <c r="Q22" s="139" t="s">
        <v>988</v>
      </c>
    </row>
    <row r="23" spans="1:17" ht="72.5" x14ac:dyDescent="0.35">
      <c r="A23" s="144" t="s">
        <v>1131</v>
      </c>
      <c r="B23" s="4"/>
      <c r="C23" s="4"/>
      <c r="D23" s="4"/>
      <c r="E23" s="4"/>
      <c r="F23" s="4"/>
      <c r="G23" s="4"/>
      <c r="H23" s="66" t="s">
        <v>290</v>
      </c>
      <c r="I23" s="88" t="s">
        <v>245</v>
      </c>
      <c r="J23" s="1" t="s">
        <v>291</v>
      </c>
      <c r="K23" s="1" t="s">
        <v>118</v>
      </c>
      <c r="L23" s="1" t="s">
        <v>292</v>
      </c>
      <c r="M23" s="1" t="s">
        <v>293</v>
      </c>
      <c r="N23" s="84"/>
      <c r="O23" s="122" t="s">
        <v>1164</v>
      </c>
      <c r="P23" s="122" t="s">
        <v>1165</v>
      </c>
      <c r="Q23" s="139" t="s">
        <v>990</v>
      </c>
    </row>
    <row r="24" spans="1:17" ht="232" x14ac:dyDescent="0.35">
      <c r="A24" s="144" t="s">
        <v>1132</v>
      </c>
      <c r="B24" s="4"/>
      <c r="C24" s="4"/>
      <c r="D24" s="4"/>
      <c r="E24" s="4"/>
      <c r="F24" s="4"/>
      <c r="G24" s="4"/>
      <c r="H24" s="66" t="s">
        <v>222</v>
      </c>
      <c r="I24" s="88" t="s">
        <v>245</v>
      </c>
      <c r="J24" s="1" t="s">
        <v>294</v>
      </c>
      <c r="K24" s="1" t="s">
        <v>118</v>
      </c>
      <c r="L24" s="1" t="s">
        <v>295</v>
      </c>
      <c r="M24" s="1" t="s">
        <v>296</v>
      </c>
      <c r="N24" s="84"/>
      <c r="O24" s="122" t="s">
        <v>1056</v>
      </c>
      <c r="P24" s="122" t="s">
        <v>1048</v>
      </c>
      <c r="Q24" s="139" t="s">
        <v>988</v>
      </c>
    </row>
    <row r="25" spans="1:17" ht="99.65" customHeight="1" x14ac:dyDescent="0.35">
      <c r="A25" s="144" t="s">
        <v>1133</v>
      </c>
      <c r="B25" s="4"/>
      <c r="C25" s="4"/>
      <c r="D25" s="4"/>
      <c r="E25" s="4"/>
      <c r="F25" s="4"/>
      <c r="G25" s="4"/>
      <c r="H25" s="66" t="s">
        <v>297</v>
      </c>
      <c r="I25" s="87" t="s">
        <v>68</v>
      </c>
      <c r="J25" s="1" t="s">
        <v>298</v>
      </c>
      <c r="K25" s="1" t="s">
        <v>118</v>
      </c>
      <c r="L25" s="1" t="s">
        <v>299</v>
      </c>
      <c r="M25" s="1" t="s">
        <v>300</v>
      </c>
      <c r="N25" s="84"/>
      <c r="O25" s="122" t="s">
        <v>1013</v>
      </c>
      <c r="P25" s="122" t="s">
        <v>1165</v>
      </c>
      <c r="Q25" s="139" t="s">
        <v>990</v>
      </c>
    </row>
    <row r="26" spans="1:17" ht="72.5" x14ac:dyDescent="0.35">
      <c r="A26" s="144" t="s">
        <v>1134</v>
      </c>
      <c r="B26" s="4"/>
      <c r="C26" s="4"/>
      <c r="D26" s="4"/>
      <c r="E26" s="4"/>
      <c r="F26" s="4"/>
      <c r="G26" s="4"/>
      <c r="H26" s="66" t="s">
        <v>226</v>
      </c>
      <c r="I26" s="87" t="s">
        <v>68</v>
      </c>
      <c r="J26" s="1" t="s">
        <v>1194</v>
      </c>
      <c r="K26" s="1" t="s">
        <v>118</v>
      </c>
      <c r="L26" s="1"/>
      <c r="M26" s="1"/>
      <c r="N26" s="84" t="s">
        <v>302</v>
      </c>
      <c r="O26" s="122" t="s">
        <v>1057</v>
      </c>
      <c r="P26" s="122" t="s">
        <v>1049</v>
      </c>
      <c r="Q26" s="139" t="s">
        <v>990</v>
      </c>
    </row>
    <row r="27" spans="1:17" ht="87" x14ac:dyDescent="0.35">
      <c r="A27" s="144" t="s">
        <v>1135</v>
      </c>
      <c r="B27" s="4"/>
      <c r="C27" s="4"/>
      <c r="D27" s="4"/>
      <c r="E27" s="4"/>
      <c r="F27" s="4"/>
      <c r="G27" s="4"/>
      <c r="H27" s="66" t="s">
        <v>303</v>
      </c>
      <c r="I27" s="1" t="s">
        <v>304</v>
      </c>
      <c r="J27" s="1" t="s">
        <v>305</v>
      </c>
      <c r="K27" s="1" t="s">
        <v>118</v>
      </c>
      <c r="L27" s="1" t="s">
        <v>301</v>
      </c>
      <c r="M27" s="1" t="s">
        <v>306</v>
      </c>
      <c r="N27" s="4" t="s">
        <v>1169</v>
      </c>
      <c r="O27" s="122" t="s">
        <v>1014</v>
      </c>
      <c r="P27" s="122" t="s">
        <v>1049</v>
      </c>
      <c r="Q27" s="139" t="s">
        <v>990</v>
      </c>
    </row>
    <row r="28" spans="1:17" ht="72.5" x14ac:dyDescent="0.35">
      <c r="A28" s="144" t="s">
        <v>1136</v>
      </c>
      <c r="B28" s="4"/>
      <c r="C28" s="4"/>
      <c r="D28" s="4"/>
      <c r="E28" s="4"/>
      <c r="F28" s="4"/>
      <c r="G28" s="4"/>
      <c r="H28" s="66" t="s">
        <v>230</v>
      </c>
      <c r="I28" s="1" t="s">
        <v>307</v>
      </c>
      <c r="J28" s="1" t="s">
        <v>308</v>
      </c>
      <c r="K28" s="1" t="s">
        <v>118</v>
      </c>
      <c r="L28" s="1" t="s">
        <v>309</v>
      </c>
      <c r="M28" s="1" t="s">
        <v>310</v>
      </c>
      <c r="N28" s="4" t="s">
        <v>1170</v>
      </c>
      <c r="O28" s="122" t="s">
        <v>1015</v>
      </c>
      <c r="P28" s="122" t="s">
        <v>1048</v>
      </c>
      <c r="Q28" s="139" t="s">
        <v>991</v>
      </c>
    </row>
    <row r="29" spans="1:17" ht="87" x14ac:dyDescent="0.35">
      <c r="A29" s="144" t="s">
        <v>1137</v>
      </c>
      <c r="B29" s="4"/>
      <c r="C29" s="4"/>
      <c r="D29" s="4"/>
      <c r="E29" s="4"/>
      <c r="F29" s="4"/>
      <c r="G29" s="4"/>
      <c r="H29" s="66" t="s">
        <v>311</v>
      </c>
      <c r="I29" s="1" t="s">
        <v>312</v>
      </c>
      <c r="J29" s="1" t="s">
        <v>313</v>
      </c>
      <c r="K29" s="1" t="s">
        <v>118</v>
      </c>
      <c r="L29" s="1" t="s">
        <v>314</v>
      </c>
      <c r="M29" s="1" t="s">
        <v>315</v>
      </c>
      <c r="N29" s="84"/>
      <c r="O29" s="122" t="s">
        <v>1171</v>
      </c>
      <c r="P29" s="122" t="s">
        <v>1049</v>
      </c>
      <c r="Q29" s="149" t="s">
        <v>990</v>
      </c>
    </row>
    <row r="30" spans="1:17" ht="87" x14ac:dyDescent="0.35">
      <c r="A30" s="144" t="s">
        <v>1138</v>
      </c>
      <c r="B30" s="4"/>
      <c r="C30" s="4"/>
      <c r="D30" s="4"/>
      <c r="E30" s="4"/>
      <c r="F30" s="4"/>
      <c r="G30" s="4"/>
      <c r="H30" s="66" t="s">
        <v>316</v>
      </c>
      <c r="I30" s="1" t="s">
        <v>312</v>
      </c>
      <c r="J30" s="1" t="s">
        <v>317</v>
      </c>
      <c r="K30" s="1" t="s">
        <v>118</v>
      </c>
      <c r="L30" s="1" t="s">
        <v>318</v>
      </c>
      <c r="M30" s="1" t="s">
        <v>319</v>
      </c>
      <c r="N30" s="4" t="s">
        <v>1172</v>
      </c>
      <c r="O30" s="122" t="s">
        <v>1058</v>
      </c>
      <c r="P30" s="189"/>
      <c r="Q30" s="139" t="s">
        <v>990</v>
      </c>
    </row>
    <row r="31" spans="1:17" ht="72" customHeight="1" x14ac:dyDescent="0.35">
      <c r="A31" s="144" t="s">
        <v>1139</v>
      </c>
      <c r="B31" s="4"/>
      <c r="C31" s="4"/>
      <c r="D31" s="4"/>
      <c r="E31" s="4"/>
      <c r="F31" s="4"/>
      <c r="G31" s="4"/>
      <c r="H31" s="66" t="s">
        <v>320</v>
      </c>
      <c r="I31" s="1" t="s">
        <v>312</v>
      </c>
      <c r="J31" s="1" t="s">
        <v>317</v>
      </c>
      <c r="K31" s="1" t="s">
        <v>118</v>
      </c>
      <c r="L31" s="1" t="s">
        <v>318</v>
      </c>
      <c r="M31" s="1" t="s">
        <v>319</v>
      </c>
      <c r="N31" s="84"/>
      <c r="O31" s="122" t="s">
        <v>1016</v>
      </c>
      <c r="P31" s="189"/>
      <c r="Q31" s="139" t="s">
        <v>992</v>
      </c>
    </row>
    <row r="32" spans="1:17" ht="58" x14ac:dyDescent="0.35">
      <c r="A32" s="144" t="s">
        <v>1140</v>
      </c>
      <c r="B32" s="4"/>
      <c r="C32" s="4"/>
      <c r="D32" s="4"/>
      <c r="E32" s="4"/>
      <c r="F32" s="4"/>
      <c r="G32" s="4"/>
      <c r="H32" s="66" t="s">
        <v>321</v>
      </c>
      <c r="I32" s="1" t="s">
        <v>304</v>
      </c>
      <c r="J32" s="1" t="s">
        <v>322</v>
      </c>
      <c r="K32" s="1" t="s">
        <v>323</v>
      </c>
      <c r="L32" s="1" t="s">
        <v>324</v>
      </c>
      <c r="M32" s="1" t="s">
        <v>325</v>
      </c>
      <c r="N32" s="84"/>
      <c r="O32" s="122" t="s">
        <v>1059</v>
      </c>
      <c r="P32" s="122" t="s">
        <v>1049</v>
      </c>
      <c r="Q32" s="149" t="s">
        <v>990</v>
      </c>
    </row>
    <row r="33" spans="1:17" ht="232" x14ac:dyDescent="0.35">
      <c r="A33" s="144" t="s">
        <v>1141</v>
      </c>
      <c r="B33" s="4"/>
      <c r="C33" s="4"/>
      <c r="D33" s="4"/>
      <c r="E33" s="4"/>
      <c r="F33" s="4"/>
      <c r="G33" s="4"/>
      <c r="H33" s="66" t="s">
        <v>326</v>
      </c>
      <c r="I33" s="1" t="s">
        <v>304</v>
      </c>
      <c r="J33" s="1" t="s">
        <v>327</v>
      </c>
      <c r="K33" s="1" t="s">
        <v>118</v>
      </c>
      <c r="L33" s="1" t="s">
        <v>328</v>
      </c>
      <c r="M33" s="1" t="s">
        <v>329</v>
      </c>
      <c r="N33" s="84"/>
      <c r="O33" s="122" t="s">
        <v>1060</v>
      </c>
      <c r="P33" s="122" t="s">
        <v>1048</v>
      </c>
      <c r="Q33" s="149" t="s">
        <v>989</v>
      </c>
    </row>
    <row r="34" spans="1:17" ht="72.5" x14ac:dyDescent="0.35">
      <c r="A34" s="144" t="s">
        <v>1142</v>
      </c>
      <c r="B34" s="4"/>
      <c r="C34" s="4"/>
      <c r="D34" s="4"/>
      <c r="E34" s="4"/>
      <c r="F34" s="4"/>
      <c r="G34" s="4"/>
      <c r="H34" s="66" t="s">
        <v>330</v>
      </c>
      <c r="I34" s="1" t="s">
        <v>304</v>
      </c>
      <c r="J34" s="1" t="s">
        <v>331</v>
      </c>
      <c r="K34" s="1" t="s">
        <v>118</v>
      </c>
      <c r="L34" s="1" t="s">
        <v>332</v>
      </c>
      <c r="M34" s="1" t="s">
        <v>333</v>
      </c>
      <c r="N34" s="84"/>
      <c r="O34" s="122" t="s">
        <v>1017</v>
      </c>
      <c r="P34" s="122" t="s">
        <v>1049</v>
      </c>
      <c r="Q34" s="149" t="s">
        <v>988</v>
      </c>
    </row>
  </sheetData>
  <autoFilter ref="B1:AK35" xr:uid="{3A1157FC-5022-49E0-96AA-BF6BB3F7E36C}"/>
  <mergeCells count="1">
    <mergeCell ref="P30:P31"/>
  </mergeCells>
  <phoneticPr fontId="9" type="noConversion"/>
  <conditionalFormatting sqref="P1:P34 P36:P1048576">
    <cfRule type="cellIs" dxfId="11" priority="1" operator="equal">
      <formula>"Low"</formula>
    </cfRule>
    <cfRule type="cellIs" dxfId="10" priority="2" operator="equal">
      <formula>"Medium"</formula>
    </cfRule>
    <cfRule type="cellIs" dxfId="9" priority="3" operator="equal">
      <formula>"High"</formula>
    </cfRule>
  </conditionalFormatting>
  <pageMargins left="0.7" right="0.7" top="0.75" bottom="0.75" header="0.3" footer="0.3"/>
  <pageSetup orientation="portrait" r:id="rId1"/>
  <customProperties>
    <customPr name="_pios_id" r:id="rId2"/>
    <customPr name="EpmWorksheetKeyString_GUID" r:id="rId3"/>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EADF1C1C-0301-4F93-810F-AB8661619C4F}">
          <x14:formula1>
            <xm:f>Status!$A:$A</xm:f>
          </x14:formula1>
          <xm:sqref>Q1:Q34 Q36:Q1048576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085BD-E76A-4DCA-B07F-2B3E6BE60ADF}">
  <sheetPr>
    <tabColor theme="9" tint="0.79998168889431442"/>
  </sheetPr>
  <dimension ref="A1:AK14"/>
  <sheetViews>
    <sheetView zoomScale="70" zoomScaleNormal="70" workbookViewId="0">
      <pane xSplit="10" ySplit="1" topLeftCell="L2" activePane="bottomRight" state="frozen"/>
      <selection pane="topRight" activeCell="K1" sqref="K1"/>
      <selection pane="bottomLeft" activeCell="A2" sqref="A2"/>
      <selection pane="bottomRight" activeCell="M3" sqref="M3"/>
    </sheetView>
  </sheetViews>
  <sheetFormatPr defaultColWidth="11.453125" defaultRowHeight="14.5" x14ac:dyDescent="0.35"/>
  <cols>
    <col min="1" max="1" width="13.81640625" style="5" customWidth="1"/>
    <col min="2" max="3" width="11.453125" style="5" hidden="1" customWidth="1"/>
    <col min="4" max="5" width="11.453125" style="11" hidden="1" customWidth="1"/>
    <col min="6" max="6" width="11.453125" style="5" hidden="1" customWidth="1"/>
    <col min="7" max="7" width="7.81640625" style="5" hidden="1" customWidth="1"/>
    <col min="8" max="8" width="28.7265625" style="5" hidden="1" customWidth="1"/>
    <col min="9" max="9" width="32.7265625" style="5" customWidth="1"/>
    <col min="10" max="10" width="49.54296875" style="5" customWidth="1"/>
    <col min="11" max="11" width="44.26953125" style="5" customWidth="1"/>
    <col min="12" max="12" width="47.81640625" style="5" bestFit="1" customWidth="1"/>
    <col min="13" max="13" width="44.1796875" style="5" customWidth="1"/>
    <col min="14" max="14" width="48.54296875" style="5" customWidth="1"/>
    <col min="15" max="15" width="54.81640625" style="5" customWidth="1"/>
    <col min="16" max="16" width="32.54296875" style="5" customWidth="1"/>
    <col min="17" max="17" width="48.54296875" style="5" customWidth="1"/>
    <col min="18" max="24" width="11.453125" style="5"/>
    <col min="25" max="25" width="11.453125" style="11"/>
    <col min="26" max="16384" width="11.453125" style="5"/>
  </cols>
  <sheetData>
    <row r="1" spans="1:37" ht="77.5" x14ac:dyDescent="0.35">
      <c r="A1" s="143" t="s">
        <v>1073</v>
      </c>
      <c r="B1" s="60" t="s">
        <v>36</v>
      </c>
      <c r="C1" s="60" t="s">
        <v>37</v>
      </c>
      <c r="D1" s="60" t="s">
        <v>38</v>
      </c>
      <c r="E1" s="60" t="s">
        <v>39</v>
      </c>
      <c r="F1" s="60" t="s">
        <v>2</v>
      </c>
      <c r="G1" s="60" t="s">
        <v>3</v>
      </c>
      <c r="H1" s="60" t="s">
        <v>4</v>
      </c>
      <c r="I1" s="60" t="s">
        <v>40</v>
      </c>
      <c r="J1" s="60" t="s">
        <v>41</v>
      </c>
      <c r="K1" s="60" t="s">
        <v>42</v>
      </c>
      <c r="L1" s="60" t="s">
        <v>43</v>
      </c>
      <c r="M1" s="60" t="s">
        <v>44</v>
      </c>
      <c r="N1" s="60" t="s">
        <v>982</v>
      </c>
      <c r="O1" s="91" t="s">
        <v>121</v>
      </c>
      <c r="P1" s="91" t="s">
        <v>1193</v>
      </c>
      <c r="Q1" s="91" t="s">
        <v>35</v>
      </c>
      <c r="R1" s="57" t="s">
        <v>47</v>
      </c>
      <c r="S1" s="57" t="s">
        <v>48</v>
      </c>
      <c r="T1" s="57" t="s">
        <v>49</v>
      </c>
      <c r="U1" s="57" t="s">
        <v>50</v>
      </c>
      <c r="V1" s="57" t="s">
        <v>51</v>
      </c>
      <c r="W1" s="57" t="s">
        <v>52</v>
      </c>
      <c r="X1" s="57" t="s">
        <v>53</v>
      </c>
      <c r="Y1" s="57" t="s">
        <v>54</v>
      </c>
      <c r="Z1" s="58" t="s">
        <v>55</v>
      </c>
      <c r="AA1" s="59" t="s">
        <v>56</v>
      </c>
      <c r="AB1" s="59" t="s">
        <v>57</v>
      </c>
      <c r="AC1" s="59" t="s">
        <v>58</v>
      </c>
      <c r="AD1" s="59" t="s">
        <v>59</v>
      </c>
      <c r="AE1" s="59" t="s">
        <v>60</v>
      </c>
      <c r="AF1" s="59" t="s">
        <v>61</v>
      </c>
      <c r="AG1" s="59" t="s">
        <v>62</v>
      </c>
      <c r="AH1" s="59" t="s">
        <v>63</v>
      </c>
      <c r="AI1" s="59" t="s">
        <v>64</v>
      </c>
      <c r="AJ1" s="59" t="s">
        <v>65</v>
      </c>
      <c r="AK1" s="59" t="s">
        <v>66</v>
      </c>
    </row>
    <row r="2" spans="1:37" ht="159.5" x14ac:dyDescent="0.35">
      <c r="A2" s="144" t="s">
        <v>1143</v>
      </c>
      <c r="B2" s="4"/>
      <c r="C2" s="4"/>
      <c r="D2" s="4"/>
      <c r="E2" s="4"/>
      <c r="H2" s="66" t="s">
        <v>334</v>
      </c>
      <c r="I2" s="4" t="s">
        <v>304</v>
      </c>
      <c r="J2" s="1" t="s">
        <v>1174</v>
      </c>
      <c r="K2" s="1" t="s">
        <v>335</v>
      </c>
      <c r="L2" s="4" t="s">
        <v>336</v>
      </c>
      <c r="M2" s="4" t="s">
        <v>337</v>
      </c>
      <c r="N2" s="95" t="s">
        <v>1173</v>
      </c>
      <c r="O2" s="4" t="s">
        <v>1027</v>
      </c>
      <c r="P2" s="4" t="s">
        <v>1049</v>
      </c>
      <c r="Q2" s="22" t="s">
        <v>990</v>
      </c>
    </row>
    <row r="3" spans="1:37" ht="87" x14ac:dyDescent="0.35">
      <c r="A3" s="144" t="s">
        <v>1144</v>
      </c>
      <c r="B3" s="4"/>
      <c r="C3" s="4"/>
      <c r="D3" s="4"/>
      <c r="E3" s="4"/>
      <c r="H3" s="66" t="s">
        <v>338</v>
      </c>
      <c r="I3" s="4" t="s">
        <v>304</v>
      </c>
      <c r="J3" s="1" t="s">
        <v>339</v>
      </c>
      <c r="K3" s="1"/>
      <c r="L3" s="4" t="s">
        <v>340</v>
      </c>
      <c r="M3" s="4" t="s">
        <v>341</v>
      </c>
      <c r="N3" s="95" t="s">
        <v>1176</v>
      </c>
      <c r="O3" s="4" t="s">
        <v>1175</v>
      </c>
      <c r="P3" s="4" t="s">
        <v>1049</v>
      </c>
      <c r="Q3" s="22" t="s">
        <v>989</v>
      </c>
    </row>
    <row r="4" spans="1:37" ht="130.5" x14ac:dyDescent="0.35">
      <c r="A4" s="144" t="s">
        <v>1145</v>
      </c>
      <c r="B4" s="4"/>
      <c r="C4" s="4"/>
      <c r="D4" s="4"/>
      <c r="E4" s="4"/>
      <c r="H4" s="66" t="s">
        <v>342</v>
      </c>
      <c r="I4" s="4" t="s">
        <v>304</v>
      </c>
      <c r="J4" s="1" t="s">
        <v>343</v>
      </c>
      <c r="K4" s="1"/>
      <c r="L4" s="4" t="s">
        <v>344</v>
      </c>
      <c r="M4" s="4" t="s">
        <v>345</v>
      </c>
      <c r="N4" s="95"/>
      <c r="O4" s="4" t="s">
        <v>1033</v>
      </c>
      <c r="P4" s="4" t="s">
        <v>1049</v>
      </c>
      <c r="Q4" s="22" t="s">
        <v>989</v>
      </c>
    </row>
    <row r="5" spans="1:37" ht="43.5" x14ac:dyDescent="0.35">
      <c r="A5" s="144" t="s">
        <v>1146</v>
      </c>
      <c r="B5" s="4"/>
      <c r="C5" s="4"/>
      <c r="D5" s="4"/>
      <c r="E5" s="4"/>
      <c r="H5" s="66" t="s">
        <v>346</v>
      </c>
      <c r="I5" s="4" t="s">
        <v>304</v>
      </c>
      <c r="J5" s="1" t="s">
        <v>347</v>
      </c>
      <c r="K5" s="1"/>
      <c r="L5" s="4" t="s">
        <v>348</v>
      </c>
      <c r="M5" s="4" t="s">
        <v>349</v>
      </c>
      <c r="N5" s="95" t="s">
        <v>1178</v>
      </c>
      <c r="O5" s="4" t="s">
        <v>1018</v>
      </c>
      <c r="P5" s="4"/>
      <c r="Q5" s="22" t="s">
        <v>992</v>
      </c>
    </row>
    <row r="6" spans="1:37" ht="43.5" x14ac:dyDescent="0.35">
      <c r="A6" s="144" t="s">
        <v>1147</v>
      </c>
      <c r="B6" s="4"/>
      <c r="C6" s="4"/>
      <c r="D6" s="4"/>
      <c r="E6" s="4"/>
      <c r="H6" s="66" t="s">
        <v>350</v>
      </c>
      <c r="I6" s="4" t="s">
        <v>304</v>
      </c>
      <c r="J6" s="1" t="s">
        <v>351</v>
      </c>
      <c r="K6" s="1"/>
      <c r="L6" s="4" t="s">
        <v>348</v>
      </c>
      <c r="M6" s="4" t="s">
        <v>352</v>
      </c>
      <c r="N6" s="95" t="s">
        <v>1177</v>
      </c>
      <c r="O6" s="4" t="s">
        <v>1019</v>
      </c>
      <c r="P6" s="4" t="s">
        <v>1049</v>
      </c>
      <c r="Q6" s="22" t="s">
        <v>989</v>
      </c>
    </row>
    <row r="7" spans="1:37" ht="29" x14ac:dyDescent="0.35">
      <c r="A7" s="144" t="s">
        <v>1148</v>
      </c>
      <c r="B7" s="4"/>
      <c r="C7" s="4"/>
      <c r="D7" s="4"/>
      <c r="E7" s="4"/>
      <c r="H7" s="66" t="s">
        <v>353</v>
      </c>
      <c r="I7" s="4" t="s">
        <v>304</v>
      </c>
      <c r="J7" s="1" t="s">
        <v>354</v>
      </c>
      <c r="K7" s="1"/>
      <c r="L7" s="4" t="s">
        <v>348</v>
      </c>
      <c r="M7" s="4"/>
      <c r="N7" s="95" t="s">
        <v>1178</v>
      </c>
      <c r="O7" s="4" t="s">
        <v>1020</v>
      </c>
      <c r="P7" s="4" t="s">
        <v>1048</v>
      </c>
      <c r="Q7" s="22" t="s">
        <v>988</v>
      </c>
    </row>
    <row r="8" spans="1:37" ht="72.5" x14ac:dyDescent="0.35">
      <c r="A8" s="144" t="s">
        <v>1149</v>
      </c>
      <c r="B8" s="4"/>
      <c r="C8" s="4"/>
      <c r="D8" s="4"/>
      <c r="E8" s="4"/>
      <c r="H8" s="66" t="s">
        <v>355</v>
      </c>
      <c r="I8" s="88" t="s">
        <v>245</v>
      </c>
      <c r="J8" s="89" t="s">
        <v>356</v>
      </c>
      <c r="K8" s="1"/>
      <c r="L8" s="4" t="s">
        <v>357</v>
      </c>
      <c r="M8" s="4" t="s">
        <v>358</v>
      </c>
      <c r="N8" s="95"/>
      <c r="O8" s="4" t="s">
        <v>1179</v>
      </c>
      <c r="P8" s="4" t="s">
        <v>1049</v>
      </c>
      <c r="Q8" s="4" t="s">
        <v>989</v>
      </c>
    </row>
    <row r="9" spans="1:37" ht="116" x14ac:dyDescent="0.35">
      <c r="A9" s="144" t="s">
        <v>1150</v>
      </c>
      <c r="B9" s="4"/>
      <c r="C9" s="4"/>
      <c r="D9" s="4"/>
      <c r="E9" s="4"/>
      <c r="H9" s="66" t="s">
        <v>359</v>
      </c>
      <c r="I9" s="88" t="s">
        <v>245</v>
      </c>
      <c r="J9" s="4" t="s">
        <v>1234</v>
      </c>
      <c r="K9" s="4" t="s">
        <v>118</v>
      </c>
      <c r="L9" s="4" t="s">
        <v>273</v>
      </c>
      <c r="M9" s="4" t="s">
        <v>360</v>
      </c>
      <c r="N9" s="95" t="s">
        <v>1180</v>
      </c>
      <c r="O9" s="4" t="s">
        <v>1034</v>
      </c>
      <c r="P9" s="4" t="s">
        <v>1048</v>
      </c>
      <c r="Q9" s="4" t="s">
        <v>987</v>
      </c>
    </row>
    <row r="10" spans="1:37" ht="116" x14ac:dyDescent="0.35">
      <c r="A10" s="144" t="s">
        <v>1151</v>
      </c>
      <c r="B10" s="4"/>
      <c r="C10" s="4"/>
      <c r="D10" s="4"/>
      <c r="E10" s="4"/>
      <c r="H10" s="66" t="s">
        <v>361</v>
      </c>
      <c r="I10" s="88" t="s">
        <v>245</v>
      </c>
      <c r="J10" s="4" t="s">
        <v>362</v>
      </c>
      <c r="K10" s="4" t="s">
        <v>118</v>
      </c>
      <c r="L10" s="4" t="s">
        <v>363</v>
      </c>
      <c r="M10" s="4" t="s">
        <v>364</v>
      </c>
      <c r="N10" s="95" t="s">
        <v>1181</v>
      </c>
      <c r="O10" s="4"/>
      <c r="P10" s="4" t="s">
        <v>1048</v>
      </c>
      <c r="Q10" s="4" t="s">
        <v>991</v>
      </c>
    </row>
    <row r="11" spans="1:37" ht="43.5" x14ac:dyDescent="0.35">
      <c r="A11" s="144" t="s">
        <v>1152</v>
      </c>
      <c r="B11" s="4"/>
      <c r="C11" s="4"/>
      <c r="D11" s="4"/>
      <c r="E11" s="4"/>
      <c r="H11" s="66" t="s">
        <v>365</v>
      </c>
      <c r="I11" s="88" t="s">
        <v>245</v>
      </c>
      <c r="J11" s="4" t="s">
        <v>276</v>
      </c>
      <c r="K11" s="4" t="s">
        <v>118</v>
      </c>
      <c r="L11" s="4" t="s">
        <v>277</v>
      </c>
      <c r="M11" s="4" t="s">
        <v>366</v>
      </c>
      <c r="N11" s="95"/>
      <c r="O11" s="4" t="s">
        <v>1035</v>
      </c>
      <c r="P11" s="4" t="s">
        <v>1049</v>
      </c>
      <c r="Q11" s="4" t="s">
        <v>988</v>
      </c>
    </row>
    <row r="12" spans="1:37" ht="87" x14ac:dyDescent="0.35">
      <c r="A12" s="144" t="s">
        <v>1153</v>
      </c>
      <c r="B12" s="4"/>
      <c r="C12" s="4"/>
      <c r="D12" s="4"/>
      <c r="E12" s="4"/>
      <c r="H12" s="66" t="s">
        <v>367</v>
      </c>
      <c r="I12" s="67" t="s">
        <v>68</v>
      </c>
      <c r="J12" s="4" t="s">
        <v>368</v>
      </c>
      <c r="K12" s="4" t="s">
        <v>369</v>
      </c>
      <c r="L12" s="4" t="s">
        <v>336</v>
      </c>
      <c r="M12" s="4" t="s">
        <v>337</v>
      </c>
      <c r="N12" s="95" t="s">
        <v>1182</v>
      </c>
      <c r="O12" s="4" t="s">
        <v>1036</v>
      </c>
      <c r="P12" s="4" t="s">
        <v>1049</v>
      </c>
      <c r="Q12" s="4" t="s">
        <v>990</v>
      </c>
    </row>
    <row r="13" spans="1:37" ht="17.5" customHeight="1" x14ac:dyDescent="0.35">
      <c r="A13" s="144" t="s">
        <v>1221</v>
      </c>
      <c r="B13" s="27"/>
      <c r="C13" s="27"/>
      <c r="D13" s="27"/>
      <c r="E13" s="27"/>
      <c r="F13" s="29"/>
      <c r="G13" s="29"/>
      <c r="H13" s="146"/>
      <c r="I13" s="27"/>
      <c r="J13" s="27" t="s">
        <v>1183</v>
      </c>
      <c r="K13" s="27"/>
      <c r="L13" s="27"/>
      <c r="M13" s="27"/>
      <c r="N13" s="150"/>
      <c r="O13" s="27"/>
      <c r="P13" s="27" t="s">
        <v>1049</v>
      </c>
      <c r="Q13" s="27" t="s">
        <v>990</v>
      </c>
    </row>
    <row r="14" spans="1:37" x14ac:dyDescent="0.35">
      <c r="A14" s="144" t="s">
        <v>1222</v>
      </c>
      <c r="B14" s="27"/>
      <c r="C14" s="27"/>
      <c r="D14" s="27"/>
      <c r="E14" s="27"/>
      <c r="F14" s="29"/>
      <c r="G14" s="29"/>
      <c r="H14" s="146"/>
      <c r="I14" s="27"/>
      <c r="J14" s="27" t="s">
        <v>1184</v>
      </c>
      <c r="K14" s="27"/>
      <c r="L14" s="27"/>
      <c r="M14" s="27"/>
      <c r="N14" s="150"/>
      <c r="O14" s="27"/>
      <c r="P14" s="27" t="s">
        <v>1049</v>
      </c>
      <c r="Q14" s="27" t="s">
        <v>990</v>
      </c>
    </row>
  </sheetData>
  <autoFilter ref="B1:AK14" xr:uid="{31C085BD-E76A-4DCA-B07F-2B3E6BE60ADF}"/>
  <phoneticPr fontId="9" type="noConversion"/>
  <conditionalFormatting sqref="P1:P1048576">
    <cfRule type="cellIs" dxfId="8" priority="1" operator="equal">
      <formula>"Low"</formula>
    </cfRule>
    <cfRule type="cellIs" dxfId="7" priority="2" operator="equal">
      <formula>"Medium"</formula>
    </cfRule>
    <cfRule type="cellIs" dxfId="6" priority="3" operator="equal">
      <formula>"High"</formula>
    </cfRule>
  </conditionalFormatting>
  <pageMargins left="0.7" right="0.7" top="0.75" bottom="0.75" header="0.3" footer="0.3"/>
  <pageSetup orientation="portrait" r:id="rId1"/>
  <customProperties>
    <customPr name="_pios_id" r:id="rId2"/>
    <customPr name="EpmWorksheetKeyString_GUID" r:id="rId3"/>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9BFA19CF-CA90-41F5-A46D-F67FFAE0502D}">
          <x14:formula1>
            <xm:f>Status!$A:$A</xm:f>
          </x14:formula1>
          <xm:sqref>Q1:Q1048576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16C6F-FFB2-4585-95F3-2B29B6E25488}">
  <sheetPr>
    <tabColor theme="9" tint="0.79998168889431442"/>
  </sheetPr>
  <dimension ref="A1:AK8"/>
  <sheetViews>
    <sheetView zoomScale="70" zoomScaleNormal="70" workbookViewId="0">
      <pane xSplit="10" ySplit="1" topLeftCell="K2" activePane="bottomRight" state="frozen"/>
      <selection pane="topRight" activeCell="K1" sqref="K1"/>
      <selection pane="bottomLeft" activeCell="A2" sqref="A2"/>
      <selection pane="bottomRight" activeCell="P1" sqref="P1:P1048576"/>
    </sheetView>
  </sheetViews>
  <sheetFormatPr defaultColWidth="11.453125" defaultRowHeight="14.5" x14ac:dyDescent="0.35"/>
  <cols>
    <col min="1" max="1" width="13.81640625" style="5" customWidth="1"/>
    <col min="2" max="4" width="11.453125" style="5" hidden="1" customWidth="1"/>
    <col min="5" max="6" width="11.453125" style="11" hidden="1" customWidth="1"/>
    <col min="7" max="7" width="11.453125" style="5" hidden="1" customWidth="1"/>
    <col min="8" max="8" width="28.54296875" style="5" hidden="1" customWidth="1"/>
    <col min="9" max="9" width="23.7265625" style="5" customWidth="1"/>
    <col min="10" max="11" width="27.7265625" style="5" customWidth="1"/>
    <col min="12" max="12" width="28.54296875" style="5" customWidth="1"/>
    <col min="13" max="13" width="37.7265625" style="5" customWidth="1"/>
    <col min="14" max="14" width="34.1796875" style="5" customWidth="1"/>
    <col min="15" max="15" width="39.54296875" style="5" customWidth="1"/>
    <col min="16" max="16" width="14" style="5" customWidth="1"/>
    <col min="17" max="17" width="39.54296875" style="5" customWidth="1"/>
    <col min="18" max="25" width="11.453125" style="5"/>
    <col min="26" max="26" width="11.453125" style="11"/>
    <col min="27" max="16384" width="11.453125" style="5"/>
  </cols>
  <sheetData>
    <row r="1" spans="1:37" ht="77.5" x14ac:dyDescent="0.35">
      <c r="A1" s="143" t="s">
        <v>1073</v>
      </c>
      <c r="B1" s="60" t="s">
        <v>36</v>
      </c>
      <c r="C1" s="60" t="s">
        <v>37</v>
      </c>
      <c r="D1" s="60" t="s">
        <v>38</v>
      </c>
      <c r="E1" s="60" t="s">
        <v>39</v>
      </c>
      <c r="F1" s="60" t="s">
        <v>2</v>
      </c>
      <c r="G1" s="60" t="s">
        <v>3</v>
      </c>
      <c r="H1" s="60" t="s">
        <v>4</v>
      </c>
      <c r="I1" s="60" t="s">
        <v>40</v>
      </c>
      <c r="J1" s="60" t="s">
        <v>41</v>
      </c>
      <c r="K1" s="60" t="s">
        <v>42</v>
      </c>
      <c r="L1" s="60" t="s">
        <v>43</v>
      </c>
      <c r="M1" s="60" t="s">
        <v>44</v>
      </c>
      <c r="N1" s="60" t="s">
        <v>45</v>
      </c>
      <c r="O1" s="91" t="s">
        <v>121</v>
      </c>
      <c r="P1" s="91" t="s">
        <v>1193</v>
      </c>
      <c r="Q1" s="91" t="s">
        <v>35</v>
      </c>
      <c r="R1" s="57" t="s">
        <v>47</v>
      </c>
      <c r="S1" s="57" t="s">
        <v>48</v>
      </c>
      <c r="T1" s="57" t="s">
        <v>49</v>
      </c>
      <c r="U1" s="57" t="s">
        <v>50</v>
      </c>
      <c r="V1" s="57" t="s">
        <v>51</v>
      </c>
      <c r="W1" s="57" t="s">
        <v>52</v>
      </c>
      <c r="X1" s="57" t="s">
        <v>53</v>
      </c>
      <c r="Y1" s="57" t="s">
        <v>54</v>
      </c>
      <c r="Z1" s="58" t="s">
        <v>55</v>
      </c>
      <c r="AA1" s="59" t="s">
        <v>56</v>
      </c>
      <c r="AB1" s="59" t="s">
        <v>57</v>
      </c>
      <c r="AC1" s="59" t="s">
        <v>58</v>
      </c>
      <c r="AD1" s="59" t="s">
        <v>59</v>
      </c>
      <c r="AE1" s="59" t="s">
        <v>60</v>
      </c>
      <c r="AF1" s="59" t="s">
        <v>61</v>
      </c>
      <c r="AG1" s="59" t="s">
        <v>62</v>
      </c>
      <c r="AH1" s="59" t="s">
        <v>63</v>
      </c>
      <c r="AI1" s="59" t="s">
        <v>64</v>
      </c>
      <c r="AJ1" s="59" t="s">
        <v>65</v>
      </c>
      <c r="AK1" s="59" t="s">
        <v>66</v>
      </c>
    </row>
    <row r="2" spans="1:37" ht="58" x14ac:dyDescent="0.35">
      <c r="A2" s="144" t="s">
        <v>1154</v>
      </c>
      <c r="B2" s="1"/>
      <c r="C2" s="1"/>
      <c r="D2" s="1"/>
      <c r="E2" s="1"/>
      <c r="F2" s="1"/>
      <c r="G2" s="1"/>
      <c r="H2" s="66" t="s">
        <v>370</v>
      </c>
      <c r="I2" s="4" t="s">
        <v>304</v>
      </c>
      <c r="J2" s="1" t="s">
        <v>1185</v>
      </c>
      <c r="K2" s="1"/>
      <c r="L2" s="4" t="s">
        <v>371</v>
      </c>
      <c r="M2" s="4"/>
      <c r="N2" s="4"/>
      <c r="O2" s="5" t="s">
        <v>1186</v>
      </c>
      <c r="P2" s="5" t="s">
        <v>1049</v>
      </c>
      <c r="Q2" s="5" t="s">
        <v>989</v>
      </c>
    </row>
    <row r="3" spans="1:37" ht="188.5" x14ac:dyDescent="0.35">
      <c r="A3" s="144" t="s">
        <v>1155</v>
      </c>
      <c r="B3" s="1"/>
      <c r="C3" s="1"/>
      <c r="D3" s="1"/>
      <c r="E3" s="1"/>
      <c r="F3" s="1"/>
      <c r="G3" s="1"/>
      <c r="H3" s="66" t="s">
        <v>372</v>
      </c>
      <c r="I3" s="88" t="s">
        <v>245</v>
      </c>
      <c r="J3" s="1" t="s">
        <v>373</v>
      </c>
      <c r="K3" s="1"/>
      <c r="L3" s="4" t="s">
        <v>374</v>
      </c>
      <c r="M3" s="4" t="s">
        <v>375</v>
      </c>
      <c r="N3" s="4" t="s">
        <v>1188</v>
      </c>
      <c r="O3" s="5" t="s">
        <v>1038</v>
      </c>
      <c r="P3" s="5" t="s">
        <v>1048</v>
      </c>
      <c r="Q3" s="5" t="s">
        <v>989</v>
      </c>
    </row>
    <row r="4" spans="1:37" ht="188.5" x14ac:dyDescent="0.35">
      <c r="A4" s="144" t="s">
        <v>1156</v>
      </c>
      <c r="B4" s="1"/>
      <c r="C4" s="1"/>
      <c r="D4" s="1"/>
      <c r="E4" s="1"/>
      <c r="F4" s="1"/>
      <c r="G4" s="1"/>
      <c r="H4" s="66" t="s">
        <v>376</v>
      </c>
      <c r="I4" s="88" t="s">
        <v>245</v>
      </c>
      <c r="J4" s="1" t="s">
        <v>377</v>
      </c>
      <c r="K4" s="1"/>
      <c r="L4" s="4" t="s">
        <v>374</v>
      </c>
      <c r="M4" s="4" t="s">
        <v>378</v>
      </c>
      <c r="N4" s="4"/>
      <c r="O4" s="5" t="s">
        <v>1039</v>
      </c>
      <c r="P4" s="5" t="s">
        <v>1048</v>
      </c>
      <c r="Q4" s="5" t="s">
        <v>988</v>
      </c>
    </row>
    <row r="5" spans="1:37" ht="87" x14ac:dyDescent="0.35">
      <c r="A5" s="144" t="s">
        <v>1157</v>
      </c>
      <c r="B5" s="1"/>
      <c r="C5" s="1"/>
      <c r="D5" s="1"/>
      <c r="E5" s="1"/>
      <c r="F5" s="1"/>
      <c r="G5" s="1"/>
      <c r="H5" s="66" t="s">
        <v>379</v>
      </c>
      <c r="I5" s="88" t="s">
        <v>245</v>
      </c>
      <c r="J5" s="1" t="s">
        <v>380</v>
      </c>
      <c r="K5" s="1"/>
      <c r="L5" s="4" t="s">
        <v>381</v>
      </c>
      <c r="M5" s="4" t="s">
        <v>382</v>
      </c>
      <c r="N5" s="4"/>
      <c r="O5" s="5" t="s">
        <v>1040</v>
      </c>
      <c r="P5" s="5" t="s">
        <v>1048</v>
      </c>
      <c r="Q5" s="137" t="s">
        <v>988</v>
      </c>
    </row>
    <row r="6" spans="1:37" ht="116" x14ac:dyDescent="0.35">
      <c r="A6" s="144" t="s">
        <v>1158</v>
      </c>
      <c r="B6" s="1"/>
      <c r="C6" s="1"/>
      <c r="D6" s="1"/>
      <c r="E6" s="1"/>
      <c r="F6" s="1"/>
      <c r="G6" s="1"/>
      <c r="H6" s="66" t="s">
        <v>370</v>
      </c>
      <c r="I6" s="4" t="s">
        <v>304</v>
      </c>
      <c r="J6" s="1" t="s">
        <v>383</v>
      </c>
      <c r="K6" s="1"/>
      <c r="L6" s="4" t="s">
        <v>371</v>
      </c>
      <c r="M6" s="4" t="s">
        <v>384</v>
      </c>
      <c r="N6" s="4"/>
      <c r="O6" s="5" t="s">
        <v>1041</v>
      </c>
      <c r="P6" s="5" t="s">
        <v>1165</v>
      </c>
      <c r="Q6" s="5" t="s">
        <v>989</v>
      </c>
    </row>
    <row r="7" spans="1:37" ht="101.5" x14ac:dyDescent="0.35">
      <c r="A7" s="144" t="s">
        <v>1159</v>
      </c>
      <c r="B7" s="1"/>
      <c r="C7" s="1"/>
      <c r="D7" s="1"/>
      <c r="E7" s="1"/>
      <c r="F7" s="1"/>
      <c r="G7" s="1"/>
      <c r="H7" s="66" t="s">
        <v>385</v>
      </c>
      <c r="I7" s="88" t="s">
        <v>245</v>
      </c>
      <c r="J7" s="1" t="s">
        <v>386</v>
      </c>
      <c r="K7" s="1"/>
      <c r="L7" s="4" t="s">
        <v>387</v>
      </c>
      <c r="M7" s="4" t="s">
        <v>388</v>
      </c>
      <c r="N7" s="4" t="s">
        <v>1190</v>
      </c>
      <c r="O7" s="5" t="s">
        <v>1189</v>
      </c>
      <c r="P7" s="5" t="s">
        <v>1048</v>
      </c>
      <c r="Q7" s="5" t="s">
        <v>988</v>
      </c>
    </row>
    <row r="8" spans="1:37" ht="87" x14ac:dyDescent="0.35">
      <c r="A8" s="144" t="s">
        <v>1160</v>
      </c>
      <c r="B8" s="1"/>
      <c r="C8" s="1"/>
      <c r="D8" s="1"/>
      <c r="E8" s="1"/>
      <c r="F8" s="1"/>
      <c r="G8" s="1"/>
      <c r="H8" s="66" t="s">
        <v>389</v>
      </c>
      <c r="I8" s="88" t="s">
        <v>245</v>
      </c>
      <c r="J8" s="1" t="s">
        <v>390</v>
      </c>
      <c r="K8" s="1"/>
      <c r="L8" s="4" t="s">
        <v>391</v>
      </c>
      <c r="M8" s="4" t="s">
        <v>392</v>
      </c>
      <c r="N8" s="4"/>
      <c r="P8" s="5" t="s">
        <v>1048</v>
      </c>
      <c r="Q8" s="137" t="s">
        <v>988</v>
      </c>
    </row>
  </sheetData>
  <autoFilter ref="B1:AK8" xr:uid="{96616C6F-FFB2-4585-95F3-2B29B6E25488}"/>
  <phoneticPr fontId="9" type="noConversion"/>
  <conditionalFormatting sqref="P1:P1048576">
    <cfRule type="cellIs" dxfId="5" priority="1" operator="equal">
      <formula>"Low"</formula>
    </cfRule>
    <cfRule type="cellIs" dxfId="4" priority="2" operator="equal">
      <formula>"Medium"</formula>
    </cfRule>
    <cfRule type="cellIs" dxfId="3" priority="3" operator="equal">
      <formula>"High"</formula>
    </cfRule>
  </conditionalFormatting>
  <pageMargins left="0.7" right="0.7" top="0.75" bottom="0.75" header="0.3" footer="0.3"/>
  <pageSetup orientation="portrait" r:id="rId1"/>
  <customProperties>
    <customPr name="_pios_id" r:id="rId2"/>
    <customPr name="EpmWorksheetKeyString_GUID" r:id="rId3"/>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715CC121-0B14-4974-AA46-52792A23513E}">
          <x14:formula1>
            <xm:f>Status!$A:$A</xm:f>
          </x14:formula1>
          <xm:sqref>Q1:Q1048576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563BD-827C-46DA-AF7B-9A5AAE4DEAF0}">
  <sheetPr>
    <tabColor theme="9" tint="0.79998168889431442"/>
  </sheetPr>
  <dimension ref="A1:AK2"/>
  <sheetViews>
    <sheetView zoomScale="70" zoomScaleNormal="70" workbookViewId="0">
      <pane xSplit="10" ySplit="1" topLeftCell="K2" activePane="bottomRight" state="frozen"/>
      <selection pane="topRight" activeCell="K1" sqref="K1"/>
      <selection pane="bottomLeft" activeCell="A2" sqref="A2"/>
      <selection pane="bottomRight" activeCell="J2" sqref="J2"/>
    </sheetView>
  </sheetViews>
  <sheetFormatPr defaultColWidth="11.453125" defaultRowHeight="14.5" x14ac:dyDescent="0.35"/>
  <cols>
    <col min="1" max="1" width="11.453125" style="5"/>
    <col min="2" max="4" width="11.453125" style="5" hidden="1" customWidth="1"/>
    <col min="5" max="6" width="11.453125" style="11" hidden="1" customWidth="1"/>
    <col min="7" max="7" width="11.453125" style="5" hidden="1" customWidth="1"/>
    <col min="8" max="8" width="21.7265625" style="5" hidden="1" customWidth="1"/>
    <col min="9" max="9" width="26.54296875" style="5" customWidth="1"/>
    <col min="10" max="10" width="46.54296875" style="5" customWidth="1"/>
    <col min="11" max="11" width="31.26953125" style="5" customWidth="1"/>
    <col min="12" max="12" width="26.81640625" style="5" customWidth="1"/>
    <col min="13" max="13" width="60.7265625" style="5" customWidth="1"/>
    <col min="14" max="14" width="12.81640625" style="5" customWidth="1"/>
    <col min="15" max="15" width="41.54296875" style="5" customWidth="1"/>
    <col min="16" max="16" width="22.453125" style="5" customWidth="1"/>
    <col min="17" max="17" width="41.54296875" style="5" customWidth="1"/>
    <col min="18" max="16384" width="11.453125" style="5"/>
  </cols>
  <sheetData>
    <row r="1" spans="1:37" ht="77.5" x14ac:dyDescent="0.35">
      <c r="A1" s="143" t="s">
        <v>1073</v>
      </c>
      <c r="B1" s="60" t="s">
        <v>36</v>
      </c>
      <c r="C1" s="60" t="s">
        <v>37</v>
      </c>
      <c r="D1" s="60" t="s">
        <v>38</v>
      </c>
      <c r="E1" s="60" t="s">
        <v>39</v>
      </c>
      <c r="F1" s="60" t="s">
        <v>2</v>
      </c>
      <c r="G1" s="60" t="s">
        <v>3</v>
      </c>
      <c r="H1" s="60" t="s">
        <v>4</v>
      </c>
      <c r="I1" s="60" t="s">
        <v>40</v>
      </c>
      <c r="J1" s="60" t="s">
        <v>41</v>
      </c>
      <c r="K1" s="60" t="s">
        <v>42</v>
      </c>
      <c r="L1" s="60" t="s">
        <v>43</v>
      </c>
      <c r="M1" s="60" t="s">
        <v>44</v>
      </c>
      <c r="N1" s="60" t="s">
        <v>45</v>
      </c>
      <c r="O1" s="91" t="s">
        <v>121</v>
      </c>
      <c r="P1" s="91" t="s">
        <v>1193</v>
      </c>
      <c r="Q1" s="91" t="s">
        <v>35</v>
      </c>
      <c r="R1" s="57" t="s">
        <v>47</v>
      </c>
      <c r="S1" s="57" t="s">
        <v>48</v>
      </c>
      <c r="T1" s="57" t="s">
        <v>49</v>
      </c>
      <c r="U1" s="57" t="s">
        <v>50</v>
      </c>
      <c r="V1" s="57" t="s">
        <v>51</v>
      </c>
      <c r="W1" s="57" t="s">
        <v>52</v>
      </c>
      <c r="X1" s="57" t="s">
        <v>53</v>
      </c>
      <c r="Y1" s="57" t="s">
        <v>54</v>
      </c>
      <c r="Z1" s="58" t="s">
        <v>55</v>
      </c>
      <c r="AA1" s="59" t="s">
        <v>56</v>
      </c>
      <c r="AB1" s="59" t="s">
        <v>57</v>
      </c>
      <c r="AC1" s="59" t="s">
        <v>58</v>
      </c>
      <c r="AD1" s="59" t="s">
        <v>59</v>
      </c>
      <c r="AE1" s="59" t="s">
        <v>60</v>
      </c>
      <c r="AF1" s="59" t="s">
        <v>61</v>
      </c>
      <c r="AG1" s="59" t="s">
        <v>62</v>
      </c>
      <c r="AH1" s="59" t="s">
        <v>63</v>
      </c>
      <c r="AI1" s="59" t="s">
        <v>64</v>
      </c>
      <c r="AJ1" s="59" t="s">
        <v>65</v>
      </c>
      <c r="AK1" s="59" t="s">
        <v>66</v>
      </c>
    </row>
    <row r="2" spans="1:37" ht="188.5" x14ac:dyDescent="0.35">
      <c r="A2" s="144" t="s">
        <v>1161</v>
      </c>
      <c r="B2" s="1"/>
      <c r="C2" s="1"/>
      <c r="D2" s="1"/>
      <c r="E2" s="1"/>
      <c r="F2" s="1"/>
      <c r="G2" s="1"/>
      <c r="H2" s="66" t="s">
        <v>393</v>
      </c>
      <c r="I2" s="67" t="s">
        <v>394</v>
      </c>
      <c r="J2" s="1" t="s">
        <v>395</v>
      </c>
      <c r="K2" s="1" t="s">
        <v>396</v>
      </c>
      <c r="L2" s="4" t="s">
        <v>397</v>
      </c>
      <c r="M2" s="4" t="s">
        <v>398</v>
      </c>
      <c r="N2" s="4" t="s">
        <v>1191</v>
      </c>
      <c r="O2" s="4" t="s">
        <v>1037</v>
      </c>
      <c r="P2" s="4" t="s">
        <v>1049</v>
      </c>
      <c r="Q2" s="4" t="s">
        <v>988</v>
      </c>
      <c r="R2" s="4"/>
      <c r="S2" s="4"/>
      <c r="T2" s="4"/>
      <c r="U2" s="4"/>
      <c r="V2" s="4"/>
      <c r="W2" s="4"/>
      <c r="X2" s="4"/>
      <c r="Y2" s="4"/>
    </row>
  </sheetData>
  <autoFilter ref="B1:AK2" xr:uid="{2A0563BD-827C-46DA-AF7B-9A5AAE4DEAF0}"/>
  <conditionalFormatting sqref="P1:P1048576">
    <cfRule type="cellIs" dxfId="2" priority="1" operator="equal">
      <formula>"Low"</formula>
    </cfRule>
    <cfRule type="cellIs" dxfId="1" priority="2" operator="equal">
      <formula>"Medium"</formula>
    </cfRule>
    <cfRule type="cellIs" dxfId="0" priority="3" operator="equal">
      <formula>"High"</formula>
    </cfRule>
  </conditionalFormatting>
  <pageMargins left="0.7" right="0.7" top="0.75" bottom="0.75" header="0.3" footer="0.3"/>
  <pageSetup orientation="portrait" r:id="rId1"/>
  <customProperties>
    <customPr name="_pios_id" r:id="rId2"/>
    <customPr name="EpmWorksheetKeyString_GUID" r:id="rId3"/>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EE750CCF-9925-424E-8260-241D2ACF2DCA}">
          <x14:formula1>
            <xm:f>Status!$A:$A</xm:f>
          </x14:formula1>
          <xm:sqref>Q1:Q1048576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10AA2-AE56-47C6-ABAF-9F10E297A22D}">
  <sheetPr>
    <tabColor theme="0" tint="-0.499984740745262"/>
  </sheetPr>
  <dimension ref="A1:AG1"/>
  <sheetViews>
    <sheetView zoomScale="70" zoomScaleNormal="70" workbookViewId="0">
      <pane ySplit="1" topLeftCell="A2" activePane="bottomLeft" state="frozen"/>
      <selection activeCell="I35" sqref="I35"/>
      <selection pane="bottomLeft" activeCell="D5" sqref="D5"/>
    </sheetView>
  </sheetViews>
  <sheetFormatPr defaultColWidth="11.453125" defaultRowHeight="14.5" x14ac:dyDescent="0.35"/>
  <cols>
    <col min="1" max="3" width="11.453125" style="5"/>
    <col min="4" max="5" width="11.453125" style="11"/>
    <col min="6" max="16384" width="11.453125" style="5"/>
  </cols>
  <sheetData>
    <row r="1" spans="1:33" ht="77.5" x14ac:dyDescent="0.35">
      <c r="A1" s="60" t="s">
        <v>36</v>
      </c>
      <c r="B1" s="60" t="s">
        <v>37</v>
      </c>
      <c r="C1" s="60" t="s">
        <v>38</v>
      </c>
      <c r="D1" s="60" t="s">
        <v>39</v>
      </c>
      <c r="E1" s="60" t="s">
        <v>2</v>
      </c>
      <c r="F1" s="60" t="s">
        <v>3</v>
      </c>
      <c r="G1" s="60" t="s">
        <v>4</v>
      </c>
      <c r="H1" s="60" t="s">
        <v>40</v>
      </c>
      <c r="I1" s="60" t="s">
        <v>41</v>
      </c>
      <c r="J1" s="60" t="s">
        <v>42</v>
      </c>
      <c r="K1" s="60" t="s">
        <v>43</v>
      </c>
      <c r="L1" s="60" t="s">
        <v>44</v>
      </c>
      <c r="M1" s="60" t="s">
        <v>45</v>
      </c>
      <c r="N1" s="57" t="s">
        <v>47</v>
      </c>
      <c r="O1" s="57" t="s">
        <v>48</v>
      </c>
      <c r="P1" s="57" t="s">
        <v>49</v>
      </c>
      <c r="Q1" s="57" t="s">
        <v>50</v>
      </c>
      <c r="R1" s="57" t="s">
        <v>51</v>
      </c>
      <c r="S1" s="57" t="s">
        <v>52</v>
      </c>
      <c r="T1" s="57" t="s">
        <v>53</v>
      </c>
      <c r="U1" s="57" t="s">
        <v>54</v>
      </c>
      <c r="V1" s="58" t="s">
        <v>55</v>
      </c>
      <c r="W1" s="59" t="s">
        <v>56</v>
      </c>
      <c r="X1" s="59" t="s">
        <v>57</v>
      </c>
      <c r="Y1" s="59" t="s">
        <v>58</v>
      </c>
      <c r="Z1" s="59" t="s">
        <v>59</v>
      </c>
      <c r="AA1" s="59" t="s">
        <v>60</v>
      </c>
      <c r="AB1" s="59" t="s">
        <v>61</v>
      </c>
      <c r="AC1" s="59" t="s">
        <v>62</v>
      </c>
      <c r="AD1" s="59" t="s">
        <v>63</v>
      </c>
      <c r="AE1" s="59" t="s">
        <v>64</v>
      </c>
      <c r="AF1" s="59" t="s">
        <v>65</v>
      </c>
      <c r="AG1" s="59" t="s">
        <v>66</v>
      </c>
    </row>
  </sheetData>
  <pageMargins left="0.7" right="0.7" top="0.75" bottom="0.75" header="0.3" footer="0.3"/>
  <pageSetup orientation="portrait" r:id="rId1"/>
  <customProperties>
    <customPr name="_pios_id" r:id="rId2"/>
    <customPr name="EpmWorksheetKeyString_GUID" r:id="rId3"/>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841B7-9EE8-4F46-8322-A2682913CFEF}">
  <sheetPr>
    <tabColor theme="0" tint="-0.499984740745262"/>
  </sheetPr>
  <dimension ref="A1:AG1"/>
  <sheetViews>
    <sheetView zoomScale="70" zoomScaleNormal="70" workbookViewId="0">
      <pane xSplit="10" ySplit="1" topLeftCell="K11" activePane="bottomRight" state="frozen"/>
      <selection pane="topRight" activeCell="I35" sqref="I35"/>
      <selection pane="bottomLeft" activeCell="I35" sqref="I35"/>
      <selection pane="bottomRight" activeCell="I35" sqref="I35"/>
    </sheetView>
  </sheetViews>
  <sheetFormatPr defaultColWidth="11.453125" defaultRowHeight="14.5" x14ac:dyDescent="0.35"/>
  <cols>
    <col min="1" max="3" width="11.453125" style="5"/>
    <col min="4" max="5" width="11.453125" style="11"/>
    <col min="6" max="16384" width="11.453125" style="5"/>
  </cols>
  <sheetData>
    <row r="1" spans="1:33" ht="77.5" x14ac:dyDescent="0.35">
      <c r="A1" s="60" t="s">
        <v>36</v>
      </c>
      <c r="B1" s="60" t="s">
        <v>37</v>
      </c>
      <c r="C1" s="60" t="s">
        <v>38</v>
      </c>
      <c r="D1" s="60" t="s">
        <v>39</v>
      </c>
      <c r="E1" s="60" t="s">
        <v>2</v>
      </c>
      <c r="F1" s="60" t="s">
        <v>3</v>
      </c>
      <c r="G1" s="60" t="s">
        <v>4</v>
      </c>
      <c r="H1" s="60" t="s">
        <v>40</v>
      </c>
      <c r="I1" s="60" t="s">
        <v>41</v>
      </c>
      <c r="J1" s="60" t="s">
        <v>42</v>
      </c>
      <c r="K1" s="60" t="s">
        <v>43</v>
      </c>
      <c r="L1" s="60" t="s">
        <v>44</v>
      </c>
      <c r="M1" s="60" t="s">
        <v>45</v>
      </c>
      <c r="N1" s="57" t="s">
        <v>47</v>
      </c>
      <c r="O1" s="57" t="s">
        <v>48</v>
      </c>
      <c r="P1" s="57" t="s">
        <v>49</v>
      </c>
      <c r="Q1" s="57" t="s">
        <v>50</v>
      </c>
      <c r="R1" s="57" t="s">
        <v>51</v>
      </c>
      <c r="S1" s="57" t="s">
        <v>52</v>
      </c>
      <c r="T1" s="57" t="s">
        <v>53</v>
      </c>
      <c r="U1" s="57" t="s">
        <v>54</v>
      </c>
      <c r="V1" s="58" t="s">
        <v>55</v>
      </c>
      <c r="W1" s="59" t="s">
        <v>56</v>
      </c>
      <c r="X1" s="59" t="s">
        <v>57</v>
      </c>
      <c r="Y1" s="59" t="s">
        <v>58</v>
      </c>
      <c r="Z1" s="59" t="s">
        <v>59</v>
      </c>
      <c r="AA1" s="59" t="s">
        <v>60</v>
      </c>
      <c r="AB1" s="59" t="s">
        <v>61</v>
      </c>
      <c r="AC1" s="59" t="s">
        <v>62</v>
      </c>
      <c r="AD1" s="59" t="s">
        <v>63</v>
      </c>
      <c r="AE1" s="59" t="s">
        <v>64</v>
      </c>
      <c r="AF1" s="59" t="s">
        <v>65</v>
      </c>
      <c r="AG1" s="59" t="s">
        <v>66</v>
      </c>
    </row>
  </sheetData>
  <pageMargins left="0.7" right="0.7" top="0.75" bottom="0.75" header="0.3" footer="0.3"/>
  <pageSetup orientation="portrait" r:id="rId1"/>
  <customProperties>
    <customPr name="_pios_id" r:id="rId2"/>
    <customPr name="EpmWorksheetKeyString_GUID" r:id="rId3"/>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530A0-EC28-4010-BDA6-48B08F8BFBA0}">
  <sheetPr>
    <tabColor theme="0" tint="-0.499984740745262"/>
  </sheetPr>
  <dimension ref="A1:AG1"/>
  <sheetViews>
    <sheetView zoomScale="70" zoomScaleNormal="70" workbookViewId="0">
      <pane xSplit="10" ySplit="1" topLeftCell="K2" activePane="bottomRight" state="frozen"/>
      <selection pane="topRight" activeCell="I37" sqref="I37"/>
      <selection pane="bottomLeft" activeCell="I37" sqref="I37"/>
      <selection pane="bottomRight" activeCell="Q35" sqref="Q35"/>
    </sheetView>
  </sheetViews>
  <sheetFormatPr defaultColWidth="11.453125" defaultRowHeight="14.5" x14ac:dyDescent="0.35"/>
  <cols>
    <col min="1" max="1" width="13.26953125" style="5" customWidth="1"/>
    <col min="2" max="3" width="11.453125" style="5"/>
    <col min="4" max="5" width="11.453125" style="11"/>
    <col min="6" max="16384" width="11.453125" style="5"/>
  </cols>
  <sheetData>
    <row r="1" spans="1:33" ht="77.5" x14ac:dyDescent="0.35">
      <c r="A1" s="60" t="s">
        <v>36</v>
      </c>
      <c r="B1" s="60" t="s">
        <v>37</v>
      </c>
      <c r="C1" s="60" t="s">
        <v>38</v>
      </c>
      <c r="D1" s="60" t="s">
        <v>39</v>
      </c>
      <c r="E1" s="60" t="s">
        <v>2</v>
      </c>
      <c r="F1" s="60" t="s">
        <v>3</v>
      </c>
      <c r="G1" s="60" t="s">
        <v>4</v>
      </c>
      <c r="H1" s="60" t="s">
        <v>40</v>
      </c>
      <c r="I1" s="60" t="s">
        <v>41</v>
      </c>
      <c r="J1" s="60" t="s">
        <v>42</v>
      </c>
      <c r="K1" s="60" t="s">
        <v>43</v>
      </c>
      <c r="L1" s="60" t="s">
        <v>44</v>
      </c>
      <c r="M1" s="60" t="s">
        <v>45</v>
      </c>
      <c r="N1" s="57" t="s">
        <v>47</v>
      </c>
      <c r="O1" s="57" t="s">
        <v>48</v>
      </c>
      <c r="P1" s="57" t="s">
        <v>49</v>
      </c>
      <c r="Q1" s="57" t="s">
        <v>50</v>
      </c>
      <c r="R1" s="57" t="s">
        <v>51</v>
      </c>
      <c r="S1" s="57" t="s">
        <v>52</v>
      </c>
      <c r="T1" s="57" t="s">
        <v>53</v>
      </c>
      <c r="U1" s="57" t="s">
        <v>54</v>
      </c>
      <c r="V1" s="58" t="s">
        <v>55</v>
      </c>
      <c r="W1" s="59" t="s">
        <v>56</v>
      </c>
      <c r="X1" s="59" t="s">
        <v>57</v>
      </c>
      <c r="Y1" s="59" t="s">
        <v>58</v>
      </c>
      <c r="Z1" s="59" t="s">
        <v>59</v>
      </c>
      <c r="AA1" s="59" t="s">
        <v>60</v>
      </c>
      <c r="AB1" s="59" t="s">
        <v>61</v>
      </c>
      <c r="AC1" s="59" t="s">
        <v>62</v>
      </c>
      <c r="AD1" s="59" t="s">
        <v>63</v>
      </c>
      <c r="AE1" s="59" t="s">
        <v>64</v>
      </c>
      <c r="AF1" s="59" t="s">
        <v>65</v>
      </c>
      <c r="AG1" s="59" t="s">
        <v>66</v>
      </c>
    </row>
  </sheetData>
  <pageMargins left="0.7" right="0.7" top="0.75" bottom="0.75" header="0.3" footer="0.3"/>
  <pageSetup orientation="portrait" r:id="rId1"/>
  <customProperties>
    <customPr name="_pios_id" r:id="rId2"/>
    <customPr name="EpmWorksheetKeyString_GUID" r:id="rId3"/>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191CF-D34D-46EE-836E-AB60E268D4BC}">
  <dimension ref="A1:S26"/>
  <sheetViews>
    <sheetView zoomScale="70" zoomScaleNormal="70" workbookViewId="0">
      <pane xSplit="4" ySplit="2" topLeftCell="E3" activePane="bottomRight" state="frozen"/>
      <selection pane="topRight" activeCell="E1" sqref="E1"/>
      <selection pane="bottomLeft" activeCell="A3" sqref="A3"/>
      <selection pane="bottomRight" activeCell="H9" sqref="H9"/>
    </sheetView>
  </sheetViews>
  <sheetFormatPr defaultColWidth="11.453125" defaultRowHeight="14.5" x14ac:dyDescent="0.35"/>
  <cols>
    <col min="1" max="1" width="26.26953125" bestFit="1" customWidth="1"/>
    <col min="2" max="2" width="21.1796875" style="6" customWidth="1"/>
    <col min="3" max="3" width="34.26953125" style="6" customWidth="1"/>
    <col min="4" max="4" width="11.81640625" style="6" customWidth="1"/>
    <col min="5" max="5" width="24" style="34" bestFit="1" customWidth="1"/>
    <col min="6" max="6" width="24.26953125" style="34" hidden="1" customWidth="1"/>
    <col min="7" max="7" width="27.453125" style="34" hidden="1" customWidth="1"/>
    <col min="8" max="8" width="57.7265625" style="96" customWidth="1"/>
    <col min="9" max="9" width="13.54296875" style="34" bestFit="1" customWidth="1"/>
    <col min="10" max="10" width="15.81640625" style="34" customWidth="1"/>
    <col min="11" max="11" width="20.1796875" style="105" bestFit="1" customWidth="1"/>
    <col min="12" max="12" width="27.81640625" style="105" bestFit="1" customWidth="1"/>
    <col min="13" max="13" width="14" style="105" bestFit="1" customWidth="1"/>
    <col min="14" max="14" width="19.1796875" style="105" bestFit="1" customWidth="1"/>
    <col min="15" max="15" width="49.7265625" style="34" hidden="1" customWidth="1"/>
    <col min="16" max="16" width="32.54296875" hidden="1" customWidth="1"/>
    <col min="17" max="17" width="26.81640625" hidden="1" customWidth="1"/>
    <col min="18" max="18" width="49.1796875" style="6" customWidth="1"/>
    <col min="19" max="19" width="49.81640625" style="6" customWidth="1"/>
  </cols>
  <sheetData>
    <row r="1" spans="1:19" ht="29" x14ac:dyDescent="0.35">
      <c r="A1" s="156" t="s">
        <v>399</v>
      </c>
      <c r="B1" s="157" t="s">
        <v>400</v>
      </c>
      <c r="C1" s="157" t="s">
        <v>401</v>
      </c>
      <c r="D1" s="157" t="s">
        <v>402</v>
      </c>
      <c r="E1" s="156" t="s">
        <v>403</v>
      </c>
      <c r="F1" s="158" t="s">
        <v>404</v>
      </c>
      <c r="G1" s="158" t="s">
        <v>405</v>
      </c>
      <c r="H1" s="168" t="s">
        <v>1227</v>
      </c>
      <c r="I1" s="159" t="s">
        <v>35</v>
      </c>
      <c r="J1" s="159" t="s">
        <v>1209</v>
      </c>
      <c r="K1" s="168" t="s">
        <v>1201</v>
      </c>
      <c r="L1" s="168" t="s">
        <v>1207</v>
      </c>
      <c r="M1" s="168" t="s">
        <v>1224</v>
      </c>
      <c r="N1" s="168" t="s">
        <v>1073</v>
      </c>
      <c r="O1" s="158" t="s">
        <v>1200</v>
      </c>
      <c r="P1" s="160" t="s">
        <v>979</v>
      </c>
      <c r="Q1" s="160" t="s">
        <v>980</v>
      </c>
      <c r="R1" s="158" t="s">
        <v>406</v>
      </c>
      <c r="S1" s="158" t="s">
        <v>6</v>
      </c>
    </row>
    <row r="2" spans="1:19" ht="43.5" x14ac:dyDescent="0.35">
      <c r="A2" s="109"/>
      <c r="B2" s="155"/>
      <c r="C2" s="155"/>
      <c r="D2" s="155"/>
      <c r="E2" s="156"/>
      <c r="F2" s="172" t="s">
        <v>407</v>
      </c>
      <c r="G2" s="172" t="s">
        <v>408</v>
      </c>
      <c r="H2" s="169"/>
      <c r="I2" s="170"/>
      <c r="J2" s="170"/>
      <c r="K2" s="169"/>
      <c r="L2" s="169"/>
      <c r="M2" s="169"/>
      <c r="N2" s="169"/>
      <c r="O2" s="172" t="s">
        <v>966</v>
      </c>
      <c r="P2" s="113"/>
      <c r="Q2" s="113"/>
      <c r="R2" s="70" t="s">
        <v>409</v>
      </c>
      <c r="S2" s="70" t="s">
        <v>410</v>
      </c>
    </row>
    <row r="3" spans="1:19" ht="87" x14ac:dyDescent="0.35">
      <c r="A3" s="151" t="s">
        <v>411</v>
      </c>
      <c r="B3" s="110" t="s">
        <v>412</v>
      </c>
      <c r="C3" s="110" t="s">
        <v>413</v>
      </c>
      <c r="D3" s="110" t="s">
        <v>414</v>
      </c>
      <c r="E3" s="173"/>
      <c r="F3" s="173" t="s">
        <v>415</v>
      </c>
      <c r="G3" s="173" t="s">
        <v>415</v>
      </c>
      <c r="H3" s="110" t="s">
        <v>1195</v>
      </c>
      <c r="I3" s="176" t="s">
        <v>988</v>
      </c>
      <c r="J3" s="176" t="s">
        <v>1203</v>
      </c>
      <c r="K3" s="110" t="s">
        <v>1202</v>
      </c>
      <c r="L3" s="110" t="s">
        <v>1213</v>
      </c>
      <c r="M3" s="110" t="s">
        <v>1225</v>
      </c>
      <c r="N3" s="110"/>
      <c r="O3" s="173"/>
      <c r="P3" s="119" t="s">
        <v>968</v>
      </c>
      <c r="Q3" s="114" t="s">
        <v>969</v>
      </c>
      <c r="R3" s="110" t="s">
        <v>416</v>
      </c>
      <c r="S3" s="110" t="s">
        <v>417</v>
      </c>
    </row>
    <row r="4" spans="1:19" ht="58" x14ac:dyDescent="0.35">
      <c r="A4" s="151" t="s">
        <v>418</v>
      </c>
      <c r="B4" s="110" t="s">
        <v>419</v>
      </c>
      <c r="C4" s="110" t="s">
        <v>420</v>
      </c>
      <c r="D4" s="110" t="s">
        <v>414</v>
      </c>
      <c r="E4" s="173" t="s">
        <v>421</v>
      </c>
      <c r="F4" s="173" t="s">
        <v>415</v>
      </c>
      <c r="G4" s="173" t="s">
        <v>415</v>
      </c>
      <c r="H4" s="110" t="s">
        <v>1198</v>
      </c>
      <c r="I4" s="173" t="s">
        <v>988</v>
      </c>
      <c r="J4" s="176" t="s">
        <v>1204</v>
      </c>
      <c r="K4" s="110" t="s">
        <v>1205</v>
      </c>
      <c r="L4" s="110" t="s">
        <v>1213</v>
      </c>
      <c r="M4" s="110"/>
      <c r="N4" s="110"/>
      <c r="O4" s="173"/>
      <c r="P4" s="119" t="s">
        <v>415</v>
      </c>
      <c r="Q4" s="116" t="s">
        <v>415</v>
      </c>
      <c r="R4" s="110" t="s">
        <v>416</v>
      </c>
      <c r="S4" s="110" t="s">
        <v>417</v>
      </c>
    </row>
    <row r="5" spans="1:19" ht="43.9" customHeight="1" x14ac:dyDescent="0.35">
      <c r="A5" s="151" t="s">
        <v>422</v>
      </c>
      <c r="B5" s="110" t="s">
        <v>423</v>
      </c>
      <c r="C5" s="110" t="s">
        <v>424</v>
      </c>
      <c r="D5" s="110" t="s">
        <v>414</v>
      </c>
      <c r="E5" s="173" t="s">
        <v>421</v>
      </c>
      <c r="F5" s="173" t="s">
        <v>415</v>
      </c>
      <c r="G5" s="173" t="s">
        <v>415</v>
      </c>
      <c r="H5" s="110" t="s">
        <v>1199</v>
      </c>
      <c r="I5" s="173" t="s">
        <v>988</v>
      </c>
      <c r="J5" s="176" t="s">
        <v>1204</v>
      </c>
      <c r="K5" s="110" t="s">
        <v>1206</v>
      </c>
      <c r="L5" s="110" t="s">
        <v>1213</v>
      </c>
      <c r="M5" s="110"/>
      <c r="N5" s="110"/>
      <c r="O5" s="173"/>
      <c r="P5" s="119" t="s">
        <v>415</v>
      </c>
      <c r="Q5" s="116" t="s">
        <v>415</v>
      </c>
      <c r="R5" s="110" t="s">
        <v>416</v>
      </c>
      <c r="S5" s="110" t="s">
        <v>417</v>
      </c>
    </row>
    <row r="6" spans="1:19" ht="45" customHeight="1" x14ac:dyDescent="0.35">
      <c r="A6" s="151" t="s">
        <v>425</v>
      </c>
      <c r="B6" s="110" t="s">
        <v>426</v>
      </c>
      <c r="C6" s="110" t="s">
        <v>427</v>
      </c>
      <c r="D6" s="110" t="s">
        <v>414</v>
      </c>
      <c r="E6" s="173" t="s">
        <v>421</v>
      </c>
      <c r="F6" s="173" t="s">
        <v>415</v>
      </c>
      <c r="G6" s="173" t="s">
        <v>415</v>
      </c>
      <c r="H6" s="110" t="s">
        <v>1211</v>
      </c>
      <c r="I6" s="173" t="s">
        <v>988</v>
      </c>
      <c r="J6" s="173" t="s">
        <v>1203</v>
      </c>
      <c r="K6" s="177" t="s">
        <v>1210</v>
      </c>
      <c r="L6" s="177" t="s">
        <v>1208</v>
      </c>
      <c r="M6" s="177"/>
      <c r="N6" s="177"/>
      <c r="O6" s="173"/>
      <c r="P6" s="119" t="s">
        <v>415</v>
      </c>
      <c r="Q6" s="114" t="s">
        <v>970</v>
      </c>
      <c r="R6" s="110" t="s">
        <v>428</v>
      </c>
      <c r="S6" s="110" t="s">
        <v>417</v>
      </c>
    </row>
    <row r="7" spans="1:19" ht="87" x14ac:dyDescent="0.35">
      <c r="A7" s="151" t="s">
        <v>429</v>
      </c>
      <c r="B7" s="110" t="s">
        <v>430</v>
      </c>
      <c r="C7" s="110" t="s">
        <v>431</v>
      </c>
      <c r="D7" s="110" t="s">
        <v>459</v>
      </c>
      <c r="E7" s="173"/>
      <c r="F7" s="173" t="s">
        <v>415</v>
      </c>
      <c r="G7" s="173" t="s">
        <v>416</v>
      </c>
      <c r="H7" s="110" t="s">
        <v>1226</v>
      </c>
      <c r="I7" s="173"/>
      <c r="J7" s="173"/>
      <c r="K7" s="177"/>
      <c r="L7" s="177" t="s">
        <v>1212</v>
      </c>
      <c r="M7" s="177" t="s">
        <v>1225</v>
      </c>
      <c r="N7" s="177" t="s">
        <v>1081</v>
      </c>
      <c r="O7" s="173"/>
      <c r="P7" s="115" t="s">
        <v>971</v>
      </c>
      <c r="Q7" s="116" t="s">
        <v>531</v>
      </c>
      <c r="R7" s="110" t="s">
        <v>432</v>
      </c>
      <c r="S7" s="110" t="s">
        <v>433</v>
      </c>
    </row>
    <row r="8" spans="1:19" ht="58" x14ac:dyDescent="0.35">
      <c r="A8" s="152" t="s">
        <v>434</v>
      </c>
      <c r="B8" s="110" t="s">
        <v>435</v>
      </c>
      <c r="C8" s="110" t="s">
        <v>436</v>
      </c>
      <c r="D8" s="110"/>
      <c r="E8" s="173"/>
      <c r="F8" s="173" t="s">
        <v>415</v>
      </c>
      <c r="G8" s="173" t="s">
        <v>415</v>
      </c>
      <c r="H8" s="110" t="s">
        <v>1219</v>
      </c>
      <c r="I8" s="173"/>
      <c r="J8" s="173"/>
      <c r="K8" s="177"/>
      <c r="L8" s="177" t="s">
        <v>1212</v>
      </c>
      <c r="M8" s="177"/>
      <c r="N8" s="177" t="s">
        <v>1143</v>
      </c>
      <c r="O8" s="173"/>
      <c r="P8" s="119" t="s">
        <v>415</v>
      </c>
      <c r="Q8" s="117" t="s">
        <v>972</v>
      </c>
      <c r="R8" s="110" t="s">
        <v>438</v>
      </c>
      <c r="S8" s="110" t="s">
        <v>439</v>
      </c>
    </row>
    <row r="9" spans="1:19" ht="58" x14ac:dyDescent="0.35">
      <c r="A9" s="152" t="s">
        <v>440</v>
      </c>
      <c r="B9" s="61" t="s">
        <v>441</v>
      </c>
      <c r="C9" s="61" t="s">
        <v>442</v>
      </c>
      <c r="D9" s="61"/>
      <c r="E9" s="174"/>
      <c r="F9" s="173" t="s">
        <v>416</v>
      </c>
      <c r="G9" s="173" t="s">
        <v>416</v>
      </c>
      <c r="H9" s="110" t="s">
        <v>1215</v>
      </c>
      <c r="I9" s="173"/>
      <c r="J9" s="173"/>
      <c r="K9" s="177"/>
      <c r="L9" s="177" t="s">
        <v>1214</v>
      </c>
      <c r="M9" s="177"/>
      <c r="N9" s="177" t="s">
        <v>1133</v>
      </c>
      <c r="O9" s="174"/>
      <c r="P9" s="115" t="s">
        <v>973</v>
      </c>
      <c r="Q9" s="116" t="s">
        <v>531</v>
      </c>
      <c r="R9" s="110"/>
      <c r="S9" s="110" t="s">
        <v>443</v>
      </c>
    </row>
    <row r="10" spans="1:19" ht="58" x14ac:dyDescent="0.35">
      <c r="A10" s="151" t="s">
        <v>444</v>
      </c>
      <c r="B10" s="110" t="s">
        <v>445</v>
      </c>
      <c r="C10" s="110" t="s">
        <v>446</v>
      </c>
      <c r="D10" s="110" t="s">
        <v>437</v>
      </c>
      <c r="E10" s="173" t="s">
        <v>447</v>
      </c>
      <c r="F10" s="173" t="s">
        <v>32</v>
      </c>
      <c r="G10" s="173" t="s">
        <v>415</v>
      </c>
      <c r="H10" s="110" t="s">
        <v>1216</v>
      </c>
      <c r="I10" s="173" t="s">
        <v>988</v>
      </c>
      <c r="J10" s="173" t="s">
        <v>1203</v>
      </c>
      <c r="K10" s="177" t="s">
        <v>1217</v>
      </c>
      <c r="L10" s="177" t="s">
        <v>1213</v>
      </c>
      <c r="M10" s="177"/>
      <c r="N10" s="177"/>
      <c r="O10" s="173"/>
      <c r="P10" s="119" t="s">
        <v>32</v>
      </c>
      <c r="Q10" s="117" t="s">
        <v>974</v>
      </c>
      <c r="R10" s="110" t="s">
        <v>448</v>
      </c>
      <c r="S10" s="110" t="s">
        <v>449</v>
      </c>
    </row>
    <row r="11" spans="1:19" ht="58" x14ac:dyDescent="0.35">
      <c r="A11" s="151" t="s">
        <v>450</v>
      </c>
      <c r="B11" s="110" t="s">
        <v>451</v>
      </c>
      <c r="C11" s="110" t="s">
        <v>452</v>
      </c>
      <c r="D11" s="110" t="s">
        <v>437</v>
      </c>
      <c r="E11" s="173" t="s">
        <v>453</v>
      </c>
      <c r="F11" s="173" t="s">
        <v>415</v>
      </c>
      <c r="G11" s="173" t="s">
        <v>32</v>
      </c>
      <c r="H11" s="110" t="s">
        <v>1218</v>
      </c>
      <c r="I11" s="173" t="s">
        <v>1235</v>
      </c>
      <c r="J11" s="173"/>
      <c r="K11" s="177"/>
      <c r="L11" s="177"/>
      <c r="M11" s="177"/>
      <c r="N11" s="177"/>
      <c r="O11" s="173"/>
      <c r="P11" s="119" t="s">
        <v>975</v>
      </c>
      <c r="Q11" s="116" t="s">
        <v>531</v>
      </c>
      <c r="R11" s="110" t="s">
        <v>454</v>
      </c>
      <c r="S11" s="110" t="s">
        <v>455</v>
      </c>
    </row>
    <row r="12" spans="1:19" ht="124.9" customHeight="1" x14ac:dyDescent="0.35">
      <c r="A12" s="151" t="s">
        <v>456</v>
      </c>
      <c r="B12" s="110" t="s">
        <v>457</v>
      </c>
      <c r="C12" s="110" t="s">
        <v>458</v>
      </c>
      <c r="D12" s="110" t="s">
        <v>459</v>
      </c>
      <c r="E12" s="173" t="s">
        <v>460</v>
      </c>
      <c r="F12" s="173" t="s">
        <v>415</v>
      </c>
      <c r="G12" s="173" t="s">
        <v>415</v>
      </c>
      <c r="H12" s="110" t="s">
        <v>1220</v>
      </c>
      <c r="I12" s="173"/>
      <c r="J12" s="173"/>
      <c r="K12" s="177"/>
      <c r="L12" s="177" t="s">
        <v>1212</v>
      </c>
      <c r="M12" s="177"/>
      <c r="N12" s="177" t="s">
        <v>1221</v>
      </c>
      <c r="O12" s="173"/>
      <c r="P12" s="117" t="s">
        <v>981</v>
      </c>
      <c r="Q12" s="117" t="s">
        <v>976</v>
      </c>
      <c r="R12" s="110" t="s">
        <v>461</v>
      </c>
      <c r="S12" s="110" t="s">
        <v>462</v>
      </c>
    </row>
    <row r="13" spans="1:19" ht="53.5" customHeight="1" x14ac:dyDescent="0.35">
      <c r="A13" s="151" t="s">
        <v>463</v>
      </c>
      <c r="B13" s="110" t="s">
        <v>464</v>
      </c>
      <c r="C13" s="110" t="s">
        <v>465</v>
      </c>
      <c r="D13" s="110" t="s">
        <v>466</v>
      </c>
      <c r="E13" s="173" t="s">
        <v>467</v>
      </c>
      <c r="F13" s="173" t="s">
        <v>415</v>
      </c>
      <c r="G13" s="173" t="s">
        <v>415</v>
      </c>
      <c r="H13" s="110"/>
      <c r="I13" s="173"/>
      <c r="J13" s="173"/>
      <c r="K13" s="177"/>
      <c r="L13" s="110" t="s">
        <v>1223</v>
      </c>
      <c r="M13" s="110" t="s">
        <v>1225</v>
      </c>
      <c r="N13" s="177" t="s">
        <v>1222</v>
      </c>
      <c r="O13" s="173"/>
      <c r="P13" s="117" t="s">
        <v>981</v>
      </c>
      <c r="Q13" s="117" t="s">
        <v>976</v>
      </c>
      <c r="R13" s="190" t="s">
        <v>468</v>
      </c>
      <c r="S13" s="190" t="s">
        <v>469</v>
      </c>
    </row>
    <row r="14" spans="1:19" ht="58.9" customHeight="1" x14ac:dyDescent="0.35">
      <c r="A14" s="151" t="s">
        <v>470</v>
      </c>
      <c r="B14" s="110" t="s">
        <v>464</v>
      </c>
      <c r="C14" s="110" t="s">
        <v>471</v>
      </c>
      <c r="D14" s="110" t="s">
        <v>466</v>
      </c>
      <c r="E14" s="173" t="s">
        <v>467</v>
      </c>
      <c r="F14" s="173" t="s">
        <v>415</v>
      </c>
      <c r="G14" s="173" t="s">
        <v>415</v>
      </c>
      <c r="H14" s="110"/>
      <c r="I14" s="173"/>
      <c r="J14" s="173"/>
      <c r="K14" s="177"/>
      <c r="L14" s="110" t="s">
        <v>1223</v>
      </c>
      <c r="M14" s="110" t="s">
        <v>1225</v>
      </c>
      <c r="N14" s="177" t="s">
        <v>1222</v>
      </c>
      <c r="O14" s="173"/>
      <c r="P14" s="117" t="s">
        <v>981</v>
      </c>
      <c r="Q14" s="117" t="s">
        <v>976</v>
      </c>
      <c r="R14" s="190"/>
      <c r="S14" s="190"/>
    </row>
    <row r="15" spans="1:19" ht="105.65" customHeight="1" x14ac:dyDescent="0.35">
      <c r="A15" s="151" t="s">
        <v>472</v>
      </c>
      <c r="B15" s="110" t="s">
        <v>464</v>
      </c>
      <c r="C15" s="110" t="s">
        <v>473</v>
      </c>
      <c r="D15" s="110" t="s">
        <v>459</v>
      </c>
      <c r="E15" s="173" t="s">
        <v>467</v>
      </c>
      <c r="F15" s="173" t="s">
        <v>415</v>
      </c>
      <c r="G15" s="173" t="s">
        <v>415</v>
      </c>
      <c r="H15" s="110"/>
      <c r="I15" s="173"/>
      <c r="J15" s="173"/>
      <c r="K15" s="177"/>
      <c r="L15" s="110" t="s">
        <v>1223</v>
      </c>
      <c r="M15" s="110" t="s">
        <v>1225</v>
      </c>
      <c r="N15" s="177" t="s">
        <v>1222</v>
      </c>
      <c r="O15" s="173"/>
      <c r="P15" s="117" t="s">
        <v>981</v>
      </c>
      <c r="Q15" s="117" t="s">
        <v>976</v>
      </c>
      <c r="R15" s="190"/>
      <c r="S15" s="190"/>
    </row>
    <row r="16" spans="1:19" x14ac:dyDescent="0.35">
      <c r="A16" s="151" t="s">
        <v>474</v>
      </c>
      <c r="B16" s="110" t="s">
        <v>475</v>
      </c>
      <c r="C16" s="110" t="s">
        <v>475</v>
      </c>
      <c r="D16" s="110" t="s">
        <v>459</v>
      </c>
      <c r="E16" s="173" t="s">
        <v>476</v>
      </c>
      <c r="F16" s="173" t="s">
        <v>477</v>
      </c>
      <c r="G16" s="173" t="s">
        <v>32</v>
      </c>
      <c r="H16" s="110"/>
      <c r="I16" s="173" t="s">
        <v>1235</v>
      </c>
      <c r="J16" s="173"/>
      <c r="K16" s="177"/>
      <c r="L16" s="177"/>
      <c r="M16" s="177"/>
      <c r="N16" s="177"/>
      <c r="O16" s="173"/>
      <c r="P16" s="118" t="s">
        <v>977</v>
      </c>
      <c r="Q16" s="118" t="s">
        <v>977</v>
      </c>
      <c r="R16" s="110"/>
      <c r="S16" s="110"/>
    </row>
    <row r="17" spans="1:19" ht="34.15" customHeight="1" x14ac:dyDescent="0.35">
      <c r="A17" s="151" t="s">
        <v>478</v>
      </c>
      <c r="B17" s="110" t="s">
        <v>479</v>
      </c>
      <c r="C17" s="110" t="s">
        <v>480</v>
      </c>
      <c r="D17" s="110" t="s">
        <v>459</v>
      </c>
      <c r="E17" s="173" t="s">
        <v>467</v>
      </c>
      <c r="F17" s="173" t="s">
        <v>415</v>
      </c>
      <c r="G17" s="173" t="s">
        <v>32</v>
      </c>
      <c r="H17" s="110"/>
      <c r="I17" s="173"/>
      <c r="J17" s="173"/>
      <c r="K17" s="177"/>
      <c r="L17" s="177" t="s">
        <v>1214</v>
      </c>
      <c r="M17" s="177"/>
      <c r="N17" s="177" t="s">
        <v>1127</v>
      </c>
      <c r="O17" s="173"/>
      <c r="P17" s="115" t="s">
        <v>973</v>
      </c>
      <c r="Q17" s="116" t="s">
        <v>531</v>
      </c>
      <c r="R17" s="110" t="s">
        <v>481</v>
      </c>
      <c r="S17" s="110" t="s">
        <v>482</v>
      </c>
    </row>
    <row r="18" spans="1:19" ht="102" customHeight="1" x14ac:dyDescent="0.35">
      <c r="A18" s="151" t="s">
        <v>483</v>
      </c>
      <c r="B18" s="110" t="s">
        <v>484</v>
      </c>
      <c r="C18" s="110" t="s">
        <v>485</v>
      </c>
      <c r="D18" s="110" t="s">
        <v>437</v>
      </c>
      <c r="E18" s="173" t="s">
        <v>486</v>
      </c>
      <c r="F18" s="173" t="s">
        <v>477</v>
      </c>
      <c r="G18" s="173" t="s">
        <v>415</v>
      </c>
      <c r="H18" s="110"/>
      <c r="I18" s="173" t="s">
        <v>987</v>
      </c>
      <c r="J18" s="173"/>
      <c r="K18" s="177"/>
      <c r="L18" s="110" t="s">
        <v>1223</v>
      </c>
      <c r="M18" s="110" t="s">
        <v>1225</v>
      </c>
      <c r="N18" s="181" t="s">
        <v>1236</v>
      </c>
      <c r="O18" s="173"/>
      <c r="P18" s="119" t="s">
        <v>531</v>
      </c>
      <c r="Q18" s="117" t="s">
        <v>978</v>
      </c>
      <c r="R18" s="110" t="s">
        <v>487</v>
      </c>
      <c r="S18" s="110" t="s">
        <v>488</v>
      </c>
    </row>
    <row r="19" spans="1:19" ht="102" customHeight="1" x14ac:dyDescent="0.35">
      <c r="A19" s="151" t="s">
        <v>489</v>
      </c>
      <c r="B19" s="110" t="s">
        <v>490</v>
      </c>
      <c r="C19" s="110" t="s">
        <v>491</v>
      </c>
      <c r="D19" s="110" t="s">
        <v>437</v>
      </c>
      <c r="E19" s="173" t="s">
        <v>492</v>
      </c>
      <c r="F19" s="173" t="s">
        <v>32</v>
      </c>
      <c r="G19" s="173" t="s">
        <v>415</v>
      </c>
      <c r="H19" s="110"/>
      <c r="I19" s="173" t="s">
        <v>987</v>
      </c>
      <c r="J19" s="173"/>
      <c r="K19" s="177"/>
      <c r="L19" s="110" t="s">
        <v>1223</v>
      </c>
      <c r="M19" s="177"/>
      <c r="N19" s="177"/>
      <c r="O19" s="173"/>
      <c r="P19" s="119" t="s">
        <v>531</v>
      </c>
      <c r="Q19" s="117" t="s">
        <v>976</v>
      </c>
      <c r="R19" s="110" t="s">
        <v>493</v>
      </c>
      <c r="S19" s="110" t="s">
        <v>482</v>
      </c>
    </row>
    <row r="20" spans="1:19" x14ac:dyDescent="0.35">
      <c r="A20" s="153" t="s">
        <v>494</v>
      </c>
      <c r="B20" s="111" t="s">
        <v>495</v>
      </c>
      <c r="C20" s="111" t="s">
        <v>495</v>
      </c>
      <c r="D20" s="111" t="s">
        <v>459</v>
      </c>
      <c r="E20" s="171"/>
      <c r="F20" s="171" t="s">
        <v>32</v>
      </c>
      <c r="G20" s="171" t="s">
        <v>32</v>
      </c>
      <c r="H20" s="111"/>
      <c r="I20" s="171" t="s">
        <v>1235</v>
      </c>
      <c r="J20" s="171"/>
      <c r="K20" s="178"/>
      <c r="L20" s="178"/>
      <c r="M20" s="178"/>
      <c r="N20" s="178"/>
      <c r="O20" s="171"/>
      <c r="P20" s="120"/>
      <c r="Q20" s="120"/>
      <c r="R20" s="111"/>
      <c r="S20" s="111"/>
    </row>
    <row r="21" spans="1:19" x14ac:dyDescent="0.35">
      <c r="A21" s="153" t="s">
        <v>496</v>
      </c>
      <c r="B21" s="111" t="s">
        <v>497</v>
      </c>
      <c r="C21" s="111" t="s">
        <v>497</v>
      </c>
      <c r="D21" s="111" t="s">
        <v>459</v>
      </c>
      <c r="E21" s="171" t="s">
        <v>498</v>
      </c>
      <c r="F21" s="171" t="s">
        <v>32</v>
      </c>
      <c r="G21" s="171" t="s">
        <v>32</v>
      </c>
      <c r="H21" s="111"/>
      <c r="I21" s="171" t="s">
        <v>1235</v>
      </c>
      <c r="J21" s="171"/>
      <c r="K21" s="178"/>
      <c r="L21" s="178"/>
      <c r="M21" s="178"/>
      <c r="N21" s="178"/>
      <c r="O21" s="171"/>
      <c r="P21" s="120"/>
      <c r="Q21" s="120"/>
      <c r="R21" s="111"/>
      <c r="S21" s="111"/>
    </row>
    <row r="22" spans="1:19" x14ac:dyDescent="0.35">
      <c r="A22" s="153" t="s">
        <v>499</v>
      </c>
      <c r="B22" s="111" t="s">
        <v>500</v>
      </c>
      <c r="C22" s="111" t="s">
        <v>500</v>
      </c>
      <c r="D22" s="111" t="s">
        <v>459</v>
      </c>
      <c r="E22" s="171" t="s">
        <v>501</v>
      </c>
      <c r="F22" s="171" t="s">
        <v>32</v>
      </c>
      <c r="G22" s="171" t="s">
        <v>32</v>
      </c>
      <c r="H22" s="111"/>
      <c r="I22" s="171" t="s">
        <v>1235</v>
      </c>
      <c r="J22" s="171"/>
      <c r="K22" s="178"/>
      <c r="L22" s="178"/>
      <c r="M22" s="178"/>
      <c r="N22" s="178"/>
      <c r="O22" s="171"/>
      <c r="P22" s="120"/>
      <c r="Q22" s="120"/>
      <c r="R22" s="111"/>
      <c r="S22" s="111"/>
    </row>
    <row r="23" spans="1:19" x14ac:dyDescent="0.35">
      <c r="A23" s="153" t="s">
        <v>502</v>
      </c>
      <c r="B23" s="111" t="s">
        <v>503</v>
      </c>
      <c r="C23" s="111" t="s">
        <v>503</v>
      </c>
      <c r="D23" s="111" t="s">
        <v>459</v>
      </c>
      <c r="E23" s="171" t="s">
        <v>460</v>
      </c>
      <c r="F23" s="171" t="s">
        <v>32</v>
      </c>
      <c r="G23" s="171" t="s">
        <v>32</v>
      </c>
      <c r="H23" s="111"/>
      <c r="I23" s="171" t="s">
        <v>1235</v>
      </c>
      <c r="J23" s="171"/>
      <c r="K23" s="178"/>
      <c r="L23" s="178"/>
      <c r="M23" s="178"/>
      <c r="N23" s="178"/>
      <c r="O23" s="171"/>
      <c r="P23" s="120"/>
      <c r="Q23" s="120"/>
      <c r="R23" s="111"/>
      <c r="S23" s="111"/>
    </row>
    <row r="24" spans="1:19" x14ac:dyDescent="0.35">
      <c r="A24" s="153" t="s">
        <v>504</v>
      </c>
      <c r="B24" s="111" t="s">
        <v>505</v>
      </c>
      <c r="C24" s="111" t="s">
        <v>505</v>
      </c>
      <c r="D24" s="111" t="s">
        <v>459</v>
      </c>
      <c r="E24" s="171" t="s">
        <v>460</v>
      </c>
      <c r="F24" s="171" t="s">
        <v>32</v>
      </c>
      <c r="G24" s="171" t="s">
        <v>32</v>
      </c>
      <c r="H24" s="111"/>
      <c r="I24" s="171" t="s">
        <v>1235</v>
      </c>
      <c r="J24" s="171"/>
      <c r="K24" s="178"/>
      <c r="L24" s="178"/>
      <c r="M24" s="178"/>
      <c r="N24" s="178"/>
      <c r="O24" s="171"/>
      <c r="P24" s="120"/>
      <c r="Q24" s="120"/>
      <c r="R24" s="111"/>
      <c r="S24" s="111"/>
    </row>
    <row r="25" spans="1:19" x14ac:dyDescent="0.35">
      <c r="A25" s="153" t="s">
        <v>506</v>
      </c>
      <c r="B25" s="111" t="s">
        <v>507</v>
      </c>
      <c r="C25" s="111" t="s">
        <v>507</v>
      </c>
      <c r="D25" s="111" t="s">
        <v>459</v>
      </c>
      <c r="E25" s="171" t="s">
        <v>486</v>
      </c>
      <c r="F25" s="171" t="s">
        <v>32</v>
      </c>
      <c r="G25" s="171" t="s">
        <v>32</v>
      </c>
      <c r="H25" s="111"/>
      <c r="I25" s="171" t="s">
        <v>1235</v>
      </c>
      <c r="J25" s="171"/>
      <c r="K25" s="178"/>
      <c r="L25" s="178"/>
      <c r="M25" s="178"/>
      <c r="N25" s="178"/>
      <c r="O25" s="171"/>
      <c r="P25" s="120"/>
      <c r="Q25" s="120"/>
      <c r="R25" s="111"/>
      <c r="S25" s="111"/>
    </row>
    <row r="26" spans="1:19" x14ac:dyDescent="0.35">
      <c r="A26" s="154" t="s">
        <v>508</v>
      </c>
      <c r="B26" s="112" t="s">
        <v>509</v>
      </c>
      <c r="C26" s="112" t="s">
        <v>510</v>
      </c>
      <c r="D26" s="112" t="s">
        <v>459</v>
      </c>
      <c r="E26" s="175" t="s">
        <v>460</v>
      </c>
      <c r="F26" s="175" t="s">
        <v>32</v>
      </c>
      <c r="G26" s="171" t="s">
        <v>32</v>
      </c>
      <c r="H26" s="111"/>
      <c r="I26" s="171" t="s">
        <v>1235</v>
      </c>
      <c r="J26" s="171"/>
      <c r="K26" s="178"/>
      <c r="L26" s="178"/>
      <c r="M26" s="178"/>
      <c r="N26" s="178"/>
      <c r="O26" s="175"/>
      <c r="P26" s="120"/>
      <c r="Q26" s="120"/>
      <c r="R26" s="112"/>
      <c r="S26" s="112"/>
    </row>
  </sheetData>
  <autoFilter ref="A2:S26" xr:uid="{804191CF-D34D-46EE-836E-AB60E268D4BC}"/>
  <mergeCells count="2">
    <mergeCell ref="R13:R15"/>
    <mergeCell ref="S13:S15"/>
  </mergeCells>
  <phoneticPr fontId="9" type="noConversion"/>
  <pageMargins left="0.7" right="0.7" top="0.78740157499999996" bottom="0.78740157499999996" header="0.3" footer="0.3"/>
  <customProperties>
    <customPr name="_pios_id" r:id="rId1"/>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C0A9-EE24-41CB-9EEE-B2E7BEAAE83E}">
  <dimension ref="B1:Q8"/>
  <sheetViews>
    <sheetView zoomScale="85" zoomScaleNormal="85" workbookViewId="0">
      <pane xSplit="15" ySplit="2" topLeftCell="P3" activePane="bottomRight" state="frozen"/>
      <selection pane="topRight" activeCell="P1" sqref="P1"/>
      <selection pane="bottomLeft" activeCell="A3" sqref="A3"/>
      <selection pane="bottomRight" activeCell="F3" sqref="F3"/>
    </sheetView>
  </sheetViews>
  <sheetFormatPr defaultColWidth="11.453125" defaultRowHeight="14.5" x14ac:dyDescent="0.35"/>
  <cols>
    <col min="1" max="1" width="2.81640625" customWidth="1"/>
    <col min="4" max="4" width="19.453125" customWidth="1"/>
    <col min="6" max="6" width="18.453125" customWidth="1"/>
    <col min="9" max="9" width="17.1796875" customWidth="1"/>
    <col min="10" max="15" width="0" hidden="1" customWidth="1"/>
    <col min="16" max="16" width="46.453125" customWidth="1"/>
    <col min="17" max="17" width="124.1796875" customWidth="1"/>
  </cols>
  <sheetData>
    <row r="1" spans="2:17" ht="15" thickBot="1" x14ac:dyDescent="0.4"/>
    <row r="2" spans="2:17" ht="35" thickBot="1" x14ac:dyDescent="0.4">
      <c r="B2" s="71" t="s">
        <v>511</v>
      </c>
      <c r="C2" s="71" t="s">
        <v>512</v>
      </c>
      <c r="D2" s="71" t="s">
        <v>513</v>
      </c>
      <c r="E2" s="72" t="s">
        <v>514</v>
      </c>
      <c r="F2" s="72" t="s">
        <v>515</v>
      </c>
      <c r="G2" s="72" t="s">
        <v>516</v>
      </c>
      <c r="H2" s="72" t="s">
        <v>517</v>
      </c>
      <c r="I2" s="72" t="s">
        <v>518</v>
      </c>
      <c r="J2" s="72" t="s">
        <v>519</v>
      </c>
      <c r="K2" s="72" t="s">
        <v>520</v>
      </c>
      <c r="L2" s="73" t="s">
        <v>521</v>
      </c>
      <c r="M2" s="73" t="s">
        <v>522</v>
      </c>
      <c r="N2" s="73" t="s">
        <v>523</v>
      </c>
      <c r="O2" s="73" t="s">
        <v>524</v>
      </c>
      <c r="P2" s="90" t="s">
        <v>525</v>
      </c>
      <c r="Q2" s="90" t="s">
        <v>525</v>
      </c>
    </row>
    <row r="3" spans="2:17" ht="102.5" thickTop="1" thickBot="1" x14ac:dyDescent="0.4">
      <c r="B3" s="74" t="s">
        <v>526</v>
      </c>
      <c r="C3" s="74" t="s">
        <v>527</v>
      </c>
      <c r="D3" s="75" t="s">
        <v>528</v>
      </c>
      <c r="E3" s="74" t="s">
        <v>529</v>
      </c>
      <c r="F3" s="76" t="s">
        <v>962</v>
      </c>
      <c r="G3" s="74" t="s">
        <v>531</v>
      </c>
      <c r="H3" s="74" t="s">
        <v>531</v>
      </c>
      <c r="I3" s="74" t="s">
        <v>415</v>
      </c>
      <c r="J3" s="74" t="s">
        <v>415</v>
      </c>
      <c r="K3" s="74" t="s">
        <v>32</v>
      </c>
      <c r="L3" s="74" t="s">
        <v>532</v>
      </c>
      <c r="M3" s="74" t="s">
        <v>532</v>
      </c>
      <c r="N3" s="74" t="s">
        <v>415</v>
      </c>
      <c r="O3" s="74" t="s">
        <v>532</v>
      </c>
      <c r="P3" s="99" t="s">
        <v>533</v>
      </c>
      <c r="Q3" s="97" t="s">
        <v>534</v>
      </c>
    </row>
    <row r="4" spans="2:17" ht="102" thickBot="1" x14ac:dyDescent="0.4">
      <c r="B4" s="77" t="s">
        <v>526</v>
      </c>
      <c r="C4" s="77" t="s">
        <v>535</v>
      </c>
      <c r="D4" s="78" t="s">
        <v>536</v>
      </c>
      <c r="E4" s="77" t="s">
        <v>537</v>
      </c>
      <c r="F4" s="77" t="s">
        <v>530</v>
      </c>
      <c r="G4" s="77" t="s">
        <v>531</v>
      </c>
      <c r="H4" s="77" t="s">
        <v>531</v>
      </c>
      <c r="I4" s="77" t="s">
        <v>538</v>
      </c>
      <c r="J4" s="77" t="s">
        <v>32</v>
      </c>
      <c r="K4" s="77" t="s">
        <v>415</v>
      </c>
      <c r="L4" s="77" t="s">
        <v>531</v>
      </c>
      <c r="M4" s="77" t="s">
        <v>531</v>
      </c>
      <c r="N4" s="77" t="s">
        <v>415</v>
      </c>
      <c r="O4" s="77" t="s">
        <v>531</v>
      </c>
      <c r="P4" s="105"/>
      <c r="Q4" s="96" t="s">
        <v>539</v>
      </c>
    </row>
    <row r="5" spans="2:17" ht="116.5" thickBot="1" x14ac:dyDescent="0.4">
      <c r="B5" s="79" t="s">
        <v>540</v>
      </c>
      <c r="C5" s="79" t="s">
        <v>527</v>
      </c>
      <c r="D5" s="80" t="s">
        <v>541</v>
      </c>
      <c r="E5" s="79" t="s">
        <v>542</v>
      </c>
      <c r="F5" s="79" t="s">
        <v>962</v>
      </c>
      <c r="G5" s="80" t="s">
        <v>963</v>
      </c>
      <c r="H5" s="79" t="s">
        <v>531</v>
      </c>
      <c r="I5" s="79" t="s">
        <v>415</v>
      </c>
      <c r="J5" s="79" t="s">
        <v>415</v>
      </c>
      <c r="K5" s="79" t="s">
        <v>32</v>
      </c>
      <c r="L5" s="79" t="s">
        <v>532</v>
      </c>
      <c r="M5" s="79" t="s">
        <v>532</v>
      </c>
      <c r="N5" s="79" t="s">
        <v>415</v>
      </c>
      <c r="O5" s="79" t="s">
        <v>532</v>
      </c>
      <c r="P5" s="98" t="s">
        <v>543</v>
      </c>
      <c r="Q5" s="97" t="s">
        <v>544</v>
      </c>
    </row>
    <row r="6" spans="2:17" ht="160" thickBot="1" x14ac:dyDescent="0.4">
      <c r="B6" s="81" t="s">
        <v>540</v>
      </c>
      <c r="C6" s="81" t="s">
        <v>535</v>
      </c>
      <c r="D6" s="82" t="s">
        <v>541</v>
      </c>
      <c r="E6" s="81" t="s">
        <v>537</v>
      </c>
      <c r="F6" s="81" t="s">
        <v>530</v>
      </c>
      <c r="G6" s="82" t="s">
        <v>963</v>
      </c>
      <c r="H6" s="81" t="s">
        <v>531</v>
      </c>
      <c r="I6" s="81" t="s">
        <v>538</v>
      </c>
      <c r="J6" s="81" t="s">
        <v>32</v>
      </c>
      <c r="K6" s="81" t="s">
        <v>415</v>
      </c>
      <c r="L6" s="81" t="s">
        <v>531</v>
      </c>
      <c r="M6" s="81" t="s">
        <v>531</v>
      </c>
      <c r="N6" s="81" t="s">
        <v>415</v>
      </c>
      <c r="O6" s="81" t="s">
        <v>531</v>
      </c>
      <c r="P6" s="106" t="s">
        <v>545</v>
      </c>
      <c r="Q6" s="97" t="s">
        <v>546</v>
      </c>
    </row>
    <row r="7" spans="2:17" ht="32.5" thickTop="1" thickBot="1" x14ac:dyDescent="0.4">
      <c r="B7" s="107" t="s">
        <v>547</v>
      </c>
      <c r="C7" s="100" t="s">
        <v>527</v>
      </c>
      <c r="D7" s="101" t="s">
        <v>536</v>
      </c>
      <c r="E7" s="100" t="s">
        <v>529</v>
      </c>
      <c r="F7" s="79" t="s">
        <v>962</v>
      </c>
      <c r="G7" s="75" t="s">
        <v>964</v>
      </c>
      <c r="H7" s="100" t="s">
        <v>548</v>
      </c>
      <c r="I7" s="100" t="s">
        <v>415</v>
      </c>
      <c r="J7" s="100" t="s">
        <v>415</v>
      </c>
      <c r="K7" s="100" t="s">
        <v>32</v>
      </c>
      <c r="L7" s="100" t="s">
        <v>532</v>
      </c>
      <c r="M7" s="100" t="s">
        <v>532</v>
      </c>
      <c r="N7" s="100" t="s">
        <v>415</v>
      </c>
      <c r="O7" s="100" t="s">
        <v>532</v>
      </c>
      <c r="P7" s="102" t="s">
        <v>549</v>
      </c>
    </row>
    <row r="8" spans="2:17" ht="31.5" x14ac:dyDescent="0.35">
      <c r="B8" s="108" t="s">
        <v>547</v>
      </c>
      <c r="C8" s="103" t="s">
        <v>535</v>
      </c>
      <c r="D8" s="104" t="s">
        <v>536</v>
      </c>
      <c r="E8" s="103" t="s">
        <v>550</v>
      </c>
      <c r="F8" s="81" t="s">
        <v>965</v>
      </c>
      <c r="G8" s="82" t="s">
        <v>964</v>
      </c>
      <c r="H8" s="103" t="s">
        <v>548</v>
      </c>
      <c r="I8" s="103" t="s">
        <v>32</v>
      </c>
      <c r="J8" s="103" t="s">
        <v>32</v>
      </c>
      <c r="K8" s="103" t="s">
        <v>415</v>
      </c>
      <c r="L8" s="103" t="s">
        <v>415</v>
      </c>
      <c r="M8" s="103" t="s">
        <v>32</v>
      </c>
      <c r="N8" s="103" t="s">
        <v>415</v>
      </c>
      <c r="O8" s="103" t="s">
        <v>415</v>
      </c>
      <c r="P8" s="102" t="s">
        <v>549</v>
      </c>
    </row>
  </sheetData>
  <pageMargins left="0.7" right="0.7" top="0.78740157499999996" bottom="0.78740157499999996" header="0.3" footer="0.3"/>
  <customProperties>
    <customPr name="_pios_id" r:id="rId1"/>
  </customPropertie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EA88F-F604-43FA-9B41-9A2E9E25BB02}">
  <dimension ref="A1:E11"/>
  <sheetViews>
    <sheetView workbookViewId="0">
      <pane ySplit="2" topLeftCell="A3" activePane="bottomLeft" state="frozen"/>
      <selection pane="bottomLeft" activeCell="B3" sqref="B3:B10"/>
    </sheetView>
  </sheetViews>
  <sheetFormatPr defaultColWidth="8.7265625" defaultRowHeight="14.5" x14ac:dyDescent="0.35"/>
  <cols>
    <col min="1" max="1" width="16.26953125" style="36" customWidth="1"/>
    <col min="2" max="2" width="70.26953125" style="5" customWidth="1"/>
    <col min="3" max="3" width="14.81640625" style="37" bestFit="1" customWidth="1"/>
    <col min="4" max="4" width="20.26953125" style="37" bestFit="1" customWidth="1"/>
    <col min="5" max="5" width="18.26953125" style="37" bestFit="1" customWidth="1"/>
    <col min="6" max="16384" width="8.7265625" style="37"/>
  </cols>
  <sheetData>
    <row r="1" spans="1:5" x14ac:dyDescent="0.35">
      <c r="A1" s="192" t="s">
        <v>570</v>
      </c>
      <c r="B1" s="192" t="s">
        <v>571</v>
      </c>
      <c r="C1" s="191" t="s">
        <v>572</v>
      </c>
      <c r="D1" s="191"/>
      <c r="E1" s="191"/>
    </row>
    <row r="2" spans="1:5" x14ac:dyDescent="0.35">
      <c r="A2" s="192"/>
      <c r="B2" s="192"/>
      <c r="C2" s="46" t="s">
        <v>573</v>
      </c>
      <c r="D2" s="47" t="s">
        <v>574</v>
      </c>
      <c r="E2" s="47" t="s">
        <v>575</v>
      </c>
    </row>
    <row r="3" spans="1:5" x14ac:dyDescent="0.35">
      <c r="A3" s="48">
        <v>1</v>
      </c>
      <c r="B3" s="182" t="s">
        <v>1237</v>
      </c>
      <c r="C3" s="48" t="s">
        <v>1245</v>
      </c>
      <c r="D3" s="48" t="s">
        <v>1246</v>
      </c>
      <c r="E3" s="48"/>
    </row>
    <row r="4" spans="1:5" x14ac:dyDescent="0.35">
      <c r="A4" s="48">
        <v>2</v>
      </c>
      <c r="B4" s="182" t="s">
        <v>1238</v>
      </c>
      <c r="C4" s="48" t="s">
        <v>1245</v>
      </c>
      <c r="D4" s="48" t="s">
        <v>1246</v>
      </c>
      <c r="E4" s="48"/>
    </row>
    <row r="5" spans="1:5" x14ac:dyDescent="0.35">
      <c r="A5" s="48">
        <v>3</v>
      </c>
      <c r="B5" s="182" t="s">
        <v>1239</v>
      </c>
      <c r="C5" s="48" t="s">
        <v>1245</v>
      </c>
      <c r="D5" s="48" t="s">
        <v>1246</v>
      </c>
      <c r="E5" s="48"/>
    </row>
    <row r="6" spans="1:5" x14ac:dyDescent="0.35">
      <c r="A6" s="48">
        <v>4</v>
      </c>
      <c r="B6" s="182" t="s">
        <v>1240</v>
      </c>
      <c r="C6" s="48" t="s">
        <v>1245</v>
      </c>
      <c r="D6" s="48" t="s">
        <v>1246</v>
      </c>
      <c r="E6" s="48"/>
    </row>
    <row r="7" spans="1:5" x14ac:dyDescent="0.35">
      <c r="A7" s="48">
        <v>5</v>
      </c>
      <c r="B7" s="182" t="s">
        <v>1241</v>
      </c>
      <c r="C7" s="48" t="s">
        <v>1245</v>
      </c>
      <c r="D7" s="48" t="s">
        <v>1246</v>
      </c>
      <c r="E7" s="48"/>
    </row>
    <row r="8" spans="1:5" x14ac:dyDescent="0.35">
      <c r="A8" s="48">
        <v>6</v>
      </c>
      <c r="B8" s="182" t="s">
        <v>1242</v>
      </c>
      <c r="C8" s="48" t="s">
        <v>1245</v>
      </c>
      <c r="D8" s="48" t="s">
        <v>1246</v>
      </c>
      <c r="E8" s="48"/>
    </row>
    <row r="9" spans="1:5" x14ac:dyDescent="0.35">
      <c r="A9" s="48">
        <v>7</v>
      </c>
      <c r="B9" s="182" t="s">
        <v>1243</v>
      </c>
      <c r="C9" s="48" t="s">
        <v>1245</v>
      </c>
      <c r="D9" s="48" t="s">
        <v>1246</v>
      </c>
      <c r="E9" s="48"/>
    </row>
    <row r="10" spans="1:5" x14ac:dyDescent="0.35">
      <c r="A10" s="48">
        <v>8</v>
      </c>
      <c r="B10" s="182" t="s">
        <v>1244</v>
      </c>
      <c r="C10" s="48" t="s">
        <v>1245</v>
      </c>
      <c r="D10" s="48" t="s">
        <v>1246</v>
      </c>
      <c r="E10" s="48"/>
    </row>
    <row r="11" spans="1:5" x14ac:dyDescent="0.35">
      <c r="A11" s="48">
        <v>9</v>
      </c>
      <c r="B11" s="4"/>
      <c r="C11" s="8"/>
      <c r="D11" s="8"/>
      <c r="E11" s="48"/>
    </row>
  </sheetData>
  <mergeCells count="3">
    <mergeCell ref="C1:E1"/>
    <mergeCell ref="B1:B2"/>
    <mergeCell ref="A1:A2"/>
  </mergeCells>
  <pageMargins left="0.7" right="0.7" top="0.75" bottom="0.75" header="0.3" footer="0.3"/>
  <customProperties>
    <customPr name="_pios_id" r:id="rId1"/>
    <customPr name="EpmWorksheetKeyString_GUID"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AAF3E-90F5-4A9D-A898-062992BA1F17}">
  <dimension ref="A1:E6"/>
  <sheetViews>
    <sheetView workbookViewId="0">
      <pane ySplit="1" topLeftCell="A2" activePane="bottomLeft" state="frozen"/>
      <selection pane="bottomLeft" activeCell="A5" sqref="A5"/>
    </sheetView>
  </sheetViews>
  <sheetFormatPr defaultColWidth="8.7265625" defaultRowHeight="14.5" x14ac:dyDescent="0.35"/>
  <cols>
    <col min="1" max="1" width="21.26953125" style="37" customWidth="1"/>
    <col min="2" max="2" width="46.7265625" style="37" customWidth="1"/>
    <col min="3" max="3" width="16" style="36" customWidth="1"/>
    <col min="4" max="4" width="26.7265625" style="37" customWidth="1"/>
    <col min="5" max="5" width="77.54296875" style="62" customWidth="1"/>
    <col min="6" max="16384" width="8.7265625" style="37"/>
  </cols>
  <sheetData>
    <row r="1" spans="1:5" x14ac:dyDescent="0.35">
      <c r="A1" s="38" t="s">
        <v>551</v>
      </c>
      <c r="B1" s="38" t="s">
        <v>33</v>
      </c>
      <c r="C1" s="38" t="s">
        <v>552</v>
      </c>
      <c r="D1" s="38" t="s">
        <v>553</v>
      </c>
    </row>
    <row r="2" spans="1:5" ht="24" x14ac:dyDescent="0.35">
      <c r="A2" s="39" t="s">
        <v>68</v>
      </c>
      <c r="B2" s="1" t="s">
        <v>554</v>
      </c>
      <c r="C2" s="1" t="s">
        <v>68</v>
      </c>
      <c r="D2" s="1"/>
      <c r="E2" s="63" t="s">
        <v>555</v>
      </c>
    </row>
    <row r="3" spans="1:5" ht="43.5" x14ac:dyDescent="0.35">
      <c r="A3" s="4" t="s">
        <v>556</v>
      </c>
      <c r="B3" s="1" t="s">
        <v>557</v>
      </c>
      <c r="C3" s="1" t="s">
        <v>128</v>
      </c>
      <c r="D3" s="1"/>
      <c r="E3" s="63" t="s">
        <v>558</v>
      </c>
    </row>
    <row r="4" spans="1:5" ht="29" x14ac:dyDescent="0.35">
      <c r="A4" s="39" t="s">
        <v>245</v>
      </c>
      <c r="B4" s="1" t="s">
        <v>559</v>
      </c>
      <c r="C4" s="1" t="s">
        <v>245</v>
      </c>
      <c r="D4" s="1"/>
      <c r="E4" s="63" t="s">
        <v>560</v>
      </c>
    </row>
    <row r="5" spans="1:5" ht="48" x14ac:dyDescent="0.35">
      <c r="A5" s="39" t="s">
        <v>561</v>
      </c>
      <c r="B5" s="1" t="s">
        <v>562</v>
      </c>
      <c r="C5" s="1" t="s">
        <v>561</v>
      </c>
      <c r="D5" s="1" t="s">
        <v>563</v>
      </c>
      <c r="E5" s="63" t="s">
        <v>564</v>
      </c>
    </row>
    <row r="6" spans="1:5" ht="58" x14ac:dyDescent="0.35">
      <c r="A6" s="39" t="s">
        <v>565</v>
      </c>
      <c r="B6" s="4" t="s">
        <v>566</v>
      </c>
      <c r="C6" s="45" t="s">
        <v>567</v>
      </c>
      <c r="D6" s="4" t="s">
        <v>568</v>
      </c>
      <c r="E6" s="63" t="s">
        <v>569</v>
      </c>
    </row>
  </sheetData>
  <pageMargins left="0.7" right="0.7" top="0.75" bottom="0.75" header="0.3" footer="0.3"/>
  <customProperties>
    <customPr name="_pios_id" r:id="rId1"/>
    <customPr name="EpmWorksheetKeyString_GUID" r:id="rId2"/>
  </customPropertie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7AEA6-0BF8-4A6C-AF33-758FA17F87E3}">
  <dimension ref="A1:AA130"/>
  <sheetViews>
    <sheetView topLeftCell="E1" zoomScale="50" zoomScaleNormal="50" workbookViewId="0">
      <pane ySplit="2" topLeftCell="A3" activePane="bottomLeft" state="frozen"/>
      <selection pane="bottomLeft" activeCell="A3" sqref="A3:XFD3"/>
    </sheetView>
  </sheetViews>
  <sheetFormatPr defaultColWidth="8.7265625" defaultRowHeight="14.5" x14ac:dyDescent="0.35"/>
  <cols>
    <col min="11" max="11" width="38.7265625" customWidth="1"/>
    <col min="12" max="12" width="29.453125" customWidth="1"/>
    <col min="13" max="13" width="26.26953125" customWidth="1"/>
    <col min="14" max="14" width="23.7265625" customWidth="1"/>
    <col min="15" max="15" width="49" customWidth="1"/>
  </cols>
  <sheetData>
    <row r="1" spans="1:27" s="5" customFormat="1" x14ac:dyDescent="0.35">
      <c r="A1" s="4"/>
      <c r="B1" s="4"/>
      <c r="C1" s="4"/>
      <c r="D1" s="8"/>
      <c r="E1" s="8"/>
      <c r="F1" s="193" t="s">
        <v>576</v>
      </c>
      <c r="G1" s="194"/>
      <c r="H1" s="195"/>
      <c r="I1" s="24"/>
      <c r="J1" s="4"/>
      <c r="K1" s="4"/>
      <c r="L1" s="4"/>
      <c r="M1" s="4"/>
      <c r="N1" s="4"/>
      <c r="O1" s="4"/>
      <c r="P1" s="4"/>
      <c r="Q1" s="4"/>
      <c r="R1" s="4"/>
      <c r="S1" s="4"/>
      <c r="T1" s="4"/>
      <c r="U1" s="4"/>
      <c r="V1" s="4"/>
    </row>
    <row r="2" spans="1:27" s="10" customFormat="1" ht="58" x14ac:dyDescent="0.35">
      <c r="A2" s="12" t="s">
        <v>577</v>
      </c>
      <c r="B2" s="12" t="s">
        <v>36</v>
      </c>
      <c r="C2" s="12" t="s">
        <v>37</v>
      </c>
      <c r="D2" s="12" t="s">
        <v>38</v>
      </c>
      <c r="E2" s="12" t="s">
        <v>39</v>
      </c>
      <c r="F2" s="12" t="s">
        <v>2</v>
      </c>
      <c r="G2" s="12" t="s">
        <v>3</v>
      </c>
      <c r="H2" s="12" t="s">
        <v>4</v>
      </c>
      <c r="I2" s="12" t="s">
        <v>578</v>
      </c>
      <c r="J2" s="12" t="s">
        <v>40</v>
      </c>
      <c r="K2" s="12" t="s">
        <v>41</v>
      </c>
      <c r="L2" s="12" t="s">
        <v>42</v>
      </c>
      <c r="M2" s="12" t="s">
        <v>43</v>
      </c>
      <c r="N2" s="12" t="s">
        <v>48</v>
      </c>
      <c r="O2" s="12" t="s">
        <v>44</v>
      </c>
      <c r="P2" s="12" t="s">
        <v>49</v>
      </c>
      <c r="Q2" s="12" t="s">
        <v>50</v>
      </c>
      <c r="R2" s="12" t="s">
        <v>51</v>
      </c>
      <c r="S2" s="12" t="s">
        <v>52</v>
      </c>
      <c r="T2" s="12" t="s">
        <v>53</v>
      </c>
      <c r="U2" s="12" t="s">
        <v>54</v>
      </c>
      <c r="V2" s="12" t="s">
        <v>45</v>
      </c>
    </row>
    <row r="3" spans="1:27" s="5" customFormat="1" ht="72.5" x14ac:dyDescent="0.35">
      <c r="A3" s="4"/>
      <c r="B3" s="7" t="s">
        <v>579</v>
      </c>
      <c r="C3" s="4" t="s">
        <v>580</v>
      </c>
      <c r="D3" s="8" t="s">
        <v>581</v>
      </c>
      <c r="E3" s="8" t="s">
        <v>582</v>
      </c>
      <c r="F3" s="1" t="s">
        <v>583</v>
      </c>
      <c r="G3" s="1" t="s">
        <v>584</v>
      </c>
      <c r="H3" s="1" t="s">
        <v>585</v>
      </c>
      <c r="I3" s="1"/>
      <c r="J3" s="4" t="s">
        <v>68</v>
      </c>
      <c r="K3" s="1" t="s">
        <v>586</v>
      </c>
      <c r="L3" s="1"/>
      <c r="M3" s="4" t="s">
        <v>587</v>
      </c>
      <c r="N3" s="1"/>
      <c r="O3" s="4" t="s">
        <v>588</v>
      </c>
      <c r="P3" s="4"/>
      <c r="Q3" s="4"/>
      <c r="R3" s="4"/>
      <c r="S3" s="4"/>
      <c r="T3" s="4"/>
      <c r="U3" s="4"/>
      <c r="V3" s="4"/>
      <c r="W3" s="35"/>
      <c r="X3" s="35"/>
      <c r="Y3" s="35"/>
      <c r="Z3" s="35"/>
      <c r="AA3" s="35"/>
    </row>
    <row r="4" spans="1:27" s="5" customFormat="1" ht="72.5" x14ac:dyDescent="0.35">
      <c r="A4" s="4"/>
      <c r="B4" s="7" t="s">
        <v>579</v>
      </c>
      <c r="C4" s="4" t="s">
        <v>580</v>
      </c>
      <c r="D4" s="8" t="s">
        <v>581</v>
      </c>
      <c r="E4" s="8" t="s">
        <v>582</v>
      </c>
      <c r="F4" s="1" t="s">
        <v>583</v>
      </c>
      <c r="G4" s="4" t="s">
        <v>589</v>
      </c>
      <c r="H4" s="4" t="s">
        <v>590</v>
      </c>
      <c r="I4" s="4"/>
      <c r="J4" s="4" t="s">
        <v>591</v>
      </c>
      <c r="K4" s="1" t="s">
        <v>592</v>
      </c>
      <c r="L4" s="1"/>
      <c r="M4" s="4" t="s">
        <v>593</v>
      </c>
      <c r="N4" s="1"/>
      <c r="O4" s="4" t="s">
        <v>594</v>
      </c>
      <c r="P4" s="4"/>
      <c r="Q4" s="4"/>
      <c r="R4" s="4"/>
      <c r="S4" s="4"/>
      <c r="T4" s="4"/>
      <c r="U4" s="4"/>
      <c r="V4" s="4"/>
      <c r="W4" s="35"/>
      <c r="X4" s="35"/>
      <c r="Y4" s="35"/>
      <c r="Z4" s="35"/>
      <c r="AA4" s="35"/>
    </row>
    <row r="5" spans="1:27" s="5" customFormat="1" ht="72.5" x14ac:dyDescent="0.35">
      <c r="A5" s="4"/>
      <c r="B5" s="7" t="s">
        <v>579</v>
      </c>
      <c r="C5" s="4" t="s">
        <v>580</v>
      </c>
      <c r="D5" s="8" t="s">
        <v>581</v>
      </c>
      <c r="E5" s="8" t="s">
        <v>582</v>
      </c>
      <c r="F5" s="1" t="s">
        <v>583</v>
      </c>
      <c r="G5" s="1" t="s">
        <v>584</v>
      </c>
      <c r="H5" s="1" t="s">
        <v>585</v>
      </c>
      <c r="I5" s="13"/>
      <c r="J5" s="4" t="s">
        <v>595</v>
      </c>
      <c r="K5" s="1" t="s">
        <v>596</v>
      </c>
      <c r="L5" s="1"/>
      <c r="M5" s="4" t="s">
        <v>597</v>
      </c>
      <c r="N5" s="1"/>
      <c r="O5" s="4" t="s">
        <v>598</v>
      </c>
      <c r="P5" s="4"/>
      <c r="Q5" s="4"/>
      <c r="R5" s="4"/>
      <c r="S5" s="4"/>
      <c r="T5" s="4"/>
      <c r="U5" s="4"/>
      <c r="V5" s="4"/>
      <c r="W5" s="35"/>
      <c r="X5" s="35"/>
      <c r="Y5" s="35"/>
      <c r="Z5" s="35"/>
      <c r="AA5" s="35"/>
    </row>
    <row r="6" spans="1:27" s="5" customFormat="1" ht="72.5" x14ac:dyDescent="0.35">
      <c r="A6" s="4"/>
      <c r="B6" s="7" t="s">
        <v>579</v>
      </c>
      <c r="C6" s="4" t="s">
        <v>580</v>
      </c>
      <c r="D6" s="8" t="s">
        <v>581</v>
      </c>
      <c r="E6" s="8" t="s">
        <v>582</v>
      </c>
      <c r="F6" s="1" t="s">
        <v>583</v>
      </c>
      <c r="G6" s="5" t="s">
        <v>599</v>
      </c>
      <c r="H6" s="1" t="s">
        <v>600</v>
      </c>
      <c r="I6" s="4"/>
      <c r="J6" s="4" t="s">
        <v>601</v>
      </c>
      <c r="K6" s="1" t="s">
        <v>602</v>
      </c>
      <c r="L6" s="1"/>
      <c r="M6" s="4" t="s">
        <v>603</v>
      </c>
      <c r="N6" s="1"/>
      <c r="O6" s="4" t="s">
        <v>604</v>
      </c>
      <c r="P6" s="4"/>
      <c r="Q6" s="4"/>
      <c r="R6" s="4"/>
      <c r="S6" s="4"/>
      <c r="T6" s="4"/>
      <c r="U6" s="4"/>
      <c r="V6" s="4" t="s">
        <v>605</v>
      </c>
      <c r="W6" s="4"/>
      <c r="X6" s="4"/>
      <c r="Y6" s="4"/>
      <c r="Z6" s="4"/>
      <c r="AA6" s="4"/>
    </row>
    <row r="7" spans="1:27" s="5" customFormat="1" ht="174" x14ac:dyDescent="0.35">
      <c r="A7" s="26"/>
      <c r="B7" s="7" t="s">
        <v>579</v>
      </c>
      <c r="C7" s="4" t="s">
        <v>580</v>
      </c>
      <c r="D7" s="8" t="s">
        <v>581</v>
      </c>
      <c r="E7" s="8" t="s">
        <v>582</v>
      </c>
      <c r="F7" s="1" t="s">
        <v>583</v>
      </c>
      <c r="G7" s="5" t="s">
        <v>599</v>
      </c>
      <c r="H7" s="1" t="s">
        <v>600</v>
      </c>
      <c r="I7" s="1"/>
      <c r="J7" s="4" t="s">
        <v>601</v>
      </c>
      <c r="K7" s="1" t="s">
        <v>606</v>
      </c>
      <c r="L7" s="1"/>
      <c r="M7" s="4" t="s">
        <v>607</v>
      </c>
      <c r="N7" s="1"/>
      <c r="O7" s="4" t="s">
        <v>608</v>
      </c>
    </row>
    <row r="8" spans="1:27" s="5" customFormat="1" ht="116" x14ac:dyDescent="0.35">
      <c r="A8" s="26"/>
      <c r="B8" s="7" t="s">
        <v>579</v>
      </c>
      <c r="C8" s="4" t="s">
        <v>580</v>
      </c>
      <c r="D8" s="8" t="s">
        <v>581</v>
      </c>
      <c r="E8" s="8" t="s">
        <v>582</v>
      </c>
      <c r="F8" s="1" t="s">
        <v>583</v>
      </c>
      <c r="G8" s="5" t="s">
        <v>599</v>
      </c>
      <c r="H8" s="1" t="s">
        <v>600</v>
      </c>
      <c r="I8" s="1"/>
      <c r="J8" s="4" t="s">
        <v>601</v>
      </c>
      <c r="K8" s="1" t="s">
        <v>609</v>
      </c>
      <c r="L8" s="1"/>
      <c r="M8" s="4" t="s">
        <v>610</v>
      </c>
      <c r="N8" s="1"/>
      <c r="O8" s="4" t="s">
        <v>611</v>
      </c>
    </row>
    <row r="9" spans="1:27" s="5" customFormat="1" ht="80.25" customHeight="1" x14ac:dyDescent="0.35">
      <c r="A9" s="4"/>
      <c r="B9" s="7" t="s">
        <v>579</v>
      </c>
      <c r="C9" s="4" t="s">
        <v>580</v>
      </c>
      <c r="D9" s="8" t="s">
        <v>581</v>
      </c>
      <c r="E9" s="8" t="s">
        <v>582</v>
      </c>
      <c r="F9" s="1" t="s">
        <v>583</v>
      </c>
      <c r="G9" s="13"/>
      <c r="H9" s="13"/>
      <c r="I9" s="13"/>
      <c r="J9" s="4" t="s">
        <v>68</v>
      </c>
      <c r="K9" s="3" t="s">
        <v>612</v>
      </c>
      <c r="L9" s="1" t="s">
        <v>613</v>
      </c>
      <c r="M9" s="4" t="s">
        <v>614</v>
      </c>
      <c r="N9" s="1" t="s">
        <v>552</v>
      </c>
      <c r="O9" s="4" t="s">
        <v>615</v>
      </c>
      <c r="P9" s="4"/>
      <c r="Q9" s="4"/>
      <c r="R9" s="4"/>
      <c r="S9" s="4"/>
      <c r="T9" s="4"/>
      <c r="U9" s="4"/>
      <c r="V9" s="4" t="s">
        <v>616</v>
      </c>
      <c r="W9" s="18"/>
      <c r="X9" s="18"/>
      <c r="Y9" s="18"/>
      <c r="Z9" s="18"/>
      <c r="AA9" s="18"/>
    </row>
    <row r="10" spans="1:27" s="5" customFormat="1" ht="101.5" x14ac:dyDescent="0.35">
      <c r="A10" s="4"/>
      <c r="B10" s="7" t="s">
        <v>579</v>
      </c>
      <c r="C10" s="4" t="s">
        <v>580</v>
      </c>
      <c r="D10" s="8" t="s">
        <v>581</v>
      </c>
      <c r="E10" s="8" t="s">
        <v>582</v>
      </c>
      <c r="F10" s="1" t="s">
        <v>583</v>
      </c>
      <c r="G10" s="1"/>
      <c r="H10" s="1"/>
      <c r="I10" s="1"/>
      <c r="J10" s="4" t="s">
        <v>68</v>
      </c>
      <c r="K10" s="3" t="s">
        <v>617</v>
      </c>
      <c r="L10" s="1" t="s">
        <v>618</v>
      </c>
      <c r="M10" s="4" t="s">
        <v>614</v>
      </c>
      <c r="N10" s="1" t="s">
        <v>552</v>
      </c>
      <c r="O10" s="4" t="s">
        <v>619</v>
      </c>
      <c r="P10" s="4"/>
      <c r="Q10" s="4"/>
      <c r="R10" s="4"/>
      <c r="S10" s="4"/>
      <c r="T10" s="4"/>
      <c r="U10" s="4"/>
      <c r="V10" s="4" t="s">
        <v>616</v>
      </c>
      <c r="W10" s="18"/>
      <c r="X10" s="18"/>
      <c r="Y10" s="18"/>
      <c r="Z10" s="18"/>
      <c r="AA10" s="18"/>
    </row>
    <row r="11" spans="1:27" s="5" customFormat="1" ht="72.5" x14ac:dyDescent="0.35">
      <c r="A11" s="4"/>
      <c r="B11" s="7" t="s">
        <v>579</v>
      </c>
      <c r="C11" s="4" t="s">
        <v>580</v>
      </c>
      <c r="D11" s="8" t="s">
        <v>581</v>
      </c>
      <c r="E11" s="8" t="s">
        <v>582</v>
      </c>
      <c r="F11" s="1" t="s">
        <v>583</v>
      </c>
      <c r="G11" s="1"/>
      <c r="H11" s="1"/>
      <c r="I11" s="1"/>
      <c r="J11" s="4" t="s">
        <v>68</v>
      </c>
      <c r="K11" s="1" t="s">
        <v>620</v>
      </c>
      <c r="L11" s="1" t="s">
        <v>621</v>
      </c>
      <c r="M11" s="4" t="s">
        <v>622</v>
      </c>
      <c r="N11" s="1" t="s">
        <v>552</v>
      </c>
      <c r="O11" s="4" t="s">
        <v>623</v>
      </c>
      <c r="P11" s="4"/>
      <c r="Q11" s="4"/>
      <c r="R11" s="4"/>
      <c r="S11" s="4"/>
      <c r="T11" s="4"/>
      <c r="U11" s="4"/>
      <c r="V11" s="4" t="s">
        <v>624</v>
      </c>
      <c r="W11" s="18"/>
      <c r="X11" s="18"/>
      <c r="Y11" s="18"/>
      <c r="Z11" s="18"/>
      <c r="AA11" s="18"/>
    </row>
    <row r="12" spans="1:27" s="5" customFormat="1" ht="72.5" x14ac:dyDescent="0.35">
      <c r="A12" s="4"/>
      <c r="B12" s="7" t="s">
        <v>579</v>
      </c>
      <c r="C12" s="4" t="s">
        <v>580</v>
      </c>
      <c r="D12" s="8" t="s">
        <v>581</v>
      </c>
      <c r="E12" s="8" t="s">
        <v>582</v>
      </c>
      <c r="F12" s="1" t="s">
        <v>583</v>
      </c>
      <c r="G12" s="1"/>
      <c r="H12" s="1"/>
      <c r="I12" s="1"/>
      <c r="J12" s="4" t="s">
        <v>68</v>
      </c>
      <c r="K12" s="3" t="s">
        <v>625</v>
      </c>
      <c r="L12" s="1" t="s">
        <v>626</v>
      </c>
      <c r="M12" s="4" t="s">
        <v>627</v>
      </c>
      <c r="N12" s="1" t="s">
        <v>552</v>
      </c>
      <c r="O12" s="4" t="s">
        <v>628</v>
      </c>
      <c r="P12" s="4"/>
      <c r="Q12" s="4"/>
      <c r="R12" s="4"/>
      <c r="S12" s="4"/>
      <c r="T12" s="4"/>
      <c r="U12" s="4"/>
      <c r="V12" s="4"/>
      <c r="W12" s="18"/>
      <c r="X12" s="18"/>
      <c r="Y12" s="18"/>
      <c r="Z12" s="18"/>
      <c r="AA12" s="18"/>
    </row>
    <row r="13" spans="1:27" s="5" customFormat="1" ht="101.5" x14ac:dyDescent="0.35">
      <c r="A13" s="4"/>
      <c r="B13" s="7" t="s">
        <v>579</v>
      </c>
      <c r="C13" s="4" t="s">
        <v>580</v>
      </c>
      <c r="D13" s="8" t="s">
        <v>581</v>
      </c>
      <c r="E13" s="8"/>
      <c r="F13" s="1" t="s">
        <v>583</v>
      </c>
      <c r="G13" s="1"/>
      <c r="H13" s="1"/>
      <c r="I13" s="1"/>
      <c r="J13" s="4" t="s">
        <v>68</v>
      </c>
      <c r="K13" s="1" t="s">
        <v>629</v>
      </c>
      <c r="L13" s="1" t="s">
        <v>630</v>
      </c>
      <c r="M13" s="4" t="s">
        <v>631</v>
      </c>
      <c r="N13" s="1" t="s">
        <v>552</v>
      </c>
      <c r="O13" s="4" t="s">
        <v>632</v>
      </c>
      <c r="P13" s="4"/>
      <c r="Q13" s="4"/>
      <c r="R13" s="4"/>
      <c r="S13" s="4"/>
      <c r="T13" s="4"/>
      <c r="U13" s="4"/>
      <c r="V13" s="4" t="s">
        <v>633</v>
      </c>
      <c r="W13" s="18"/>
      <c r="X13" s="18"/>
      <c r="Y13" s="18"/>
      <c r="Z13" s="18"/>
      <c r="AA13" s="18"/>
    </row>
    <row r="14" spans="1:27" s="5" customFormat="1" ht="174" x14ac:dyDescent="0.35">
      <c r="A14" s="4"/>
      <c r="B14" s="7" t="s">
        <v>579</v>
      </c>
      <c r="C14" s="4" t="s">
        <v>580</v>
      </c>
      <c r="D14" s="8" t="s">
        <v>581</v>
      </c>
      <c r="E14" s="8" t="s">
        <v>582</v>
      </c>
      <c r="F14" s="1" t="s">
        <v>583</v>
      </c>
      <c r="G14" s="1"/>
      <c r="H14" s="1"/>
      <c r="I14" s="1"/>
      <c r="J14" s="4" t="s">
        <v>595</v>
      </c>
      <c r="K14" s="3" t="s">
        <v>634</v>
      </c>
      <c r="L14" s="1"/>
      <c r="M14" s="4" t="s">
        <v>635</v>
      </c>
      <c r="N14" s="1"/>
      <c r="O14" s="4" t="s">
        <v>608</v>
      </c>
    </row>
    <row r="15" spans="1:27" s="29" customFormat="1" ht="58" x14ac:dyDescent="0.35">
      <c r="A15" s="27"/>
      <c r="B15" s="27" t="s">
        <v>579</v>
      </c>
      <c r="C15" s="27" t="s">
        <v>580</v>
      </c>
      <c r="D15" s="28" t="s">
        <v>581</v>
      </c>
      <c r="E15" s="28" t="s">
        <v>636</v>
      </c>
      <c r="F15" s="3" t="s">
        <v>583</v>
      </c>
      <c r="G15" s="3"/>
      <c r="H15" s="3"/>
      <c r="I15" s="3"/>
      <c r="J15" s="4" t="s">
        <v>68</v>
      </c>
      <c r="K15" s="3" t="s">
        <v>637</v>
      </c>
      <c r="L15" s="3"/>
      <c r="M15" s="27" t="s">
        <v>638</v>
      </c>
      <c r="N15" s="3" t="s">
        <v>639</v>
      </c>
      <c r="O15" s="27"/>
      <c r="P15" s="27"/>
      <c r="Q15" s="27"/>
      <c r="R15" s="27"/>
      <c r="S15" s="27"/>
      <c r="T15" s="27"/>
      <c r="U15" s="27"/>
      <c r="V15" s="27"/>
      <c r="W15" s="27"/>
      <c r="X15" s="27"/>
      <c r="Y15" s="27"/>
      <c r="Z15" s="27"/>
      <c r="AA15" s="27"/>
    </row>
    <row r="16" spans="1:27" s="5" customFormat="1" ht="72.5" x14ac:dyDescent="0.35">
      <c r="A16" s="26"/>
      <c r="B16" s="7" t="s">
        <v>579</v>
      </c>
      <c r="C16" s="4" t="s">
        <v>580</v>
      </c>
      <c r="D16" s="8" t="s">
        <v>581</v>
      </c>
      <c r="E16" s="8" t="s">
        <v>582</v>
      </c>
      <c r="F16" s="1" t="s">
        <v>583</v>
      </c>
      <c r="G16" s="1"/>
      <c r="H16" s="1"/>
      <c r="I16" s="1"/>
      <c r="J16" s="4" t="s">
        <v>68</v>
      </c>
      <c r="K16" s="3" t="s">
        <v>640</v>
      </c>
      <c r="L16" s="1"/>
      <c r="M16" s="4" t="s">
        <v>641</v>
      </c>
      <c r="N16" s="1" t="s">
        <v>552</v>
      </c>
      <c r="O16" s="4" t="s">
        <v>642</v>
      </c>
      <c r="P16" s="4"/>
      <c r="Q16" s="4"/>
      <c r="R16" s="4"/>
      <c r="S16" s="4"/>
      <c r="T16" s="4"/>
      <c r="U16" s="4"/>
      <c r="V16" s="4" t="s">
        <v>616</v>
      </c>
      <c r="W16" s="18"/>
      <c r="X16" s="18"/>
      <c r="Y16" s="18"/>
      <c r="Z16" s="18"/>
      <c r="AA16" s="18"/>
    </row>
    <row r="17" spans="1:27" s="5" customFormat="1" ht="348" x14ac:dyDescent="0.35">
      <c r="A17" s="4"/>
      <c r="B17" s="7" t="s">
        <v>579</v>
      </c>
      <c r="C17" s="4" t="s">
        <v>580</v>
      </c>
      <c r="D17" s="8" t="s">
        <v>581</v>
      </c>
      <c r="E17" s="8" t="s">
        <v>582</v>
      </c>
      <c r="F17" s="1" t="s">
        <v>583</v>
      </c>
      <c r="G17" s="1"/>
      <c r="H17" s="1"/>
      <c r="I17" s="1"/>
      <c r="J17" s="4" t="s">
        <v>591</v>
      </c>
      <c r="K17" s="1" t="s">
        <v>643</v>
      </c>
      <c r="L17" s="1"/>
      <c r="M17" s="4" t="s">
        <v>644</v>
      </c>
      <c r="N17" s="1"/>
      <c r="O17" s="4" t="s">
        <v>645</v>
      </c>
      <c r="P17" s="4"/>
      <c r="Q17" s="4"/>
      <c r="R17" s="4"/>
      <c r="S17" s="4"/>
      <c r="T17" s="4"/>
      <c r="U17" s="4"/>
      <c r="V17" s="4" t="s">
        <v>646</v>
      </c>
      <c r="W17" s="18"/>
      <c r="X17" s="18"/>
      <c r="Y17" s="18"/>
      <c r="Z17" s="18"/>
      <c r="AA17" s="18"/>
    </row>
    <row r="22" spans="1:27" s="5" customFormat="1" ht="72.5" x14ac:dyDescent="0.35">
      <c r="A22" s="4"/>
      <c r="B22" s="7" t="s">
        <v>579</v>
      </c>
      <c r="C22" s="4" t="s">
        <v>580</v>
      </c>
      <c r="D22" s="8" t="s">
        <v>581</v>
      </c>
      <c r="E22" s="8" t="s">
        <v>582</v>
      </c>
      <c r="F22" s="1" t="s">
        <v>583</v>
      </c>
      <c r="G22" s="1"/>
      <c r="H22" s="1"/>
      <c r="I22" s="1"/>
      <c r="J22" s="1" t="s">
        <v>595</v>
      </c>
      <c r="K22" s="1" t="s">
        <v>647</v>
      </c>
      <c r="L22" s="1"/>
      <c r="M22" s="4" t="s">
        <v>648</v>
      </c>
      <c r="N22" s="1"/>
      <c r="O22" s="4" t="s">
        <v>649</v>
      </c>
      <c r="P22" s="4"/>
      <c r="Q22" s="4"/>
      <c r="R22" s="4"/>
      <c r="S22" s="4"/>
      <c r="T22" s="4"/>
      <c r="U22" s="4"/>
      <c r="V22" s="4"/>
      <c r="W22" s="18"/>
      <c r="X22" s="18"/>
      <c r="Y22" s="18"/>
      <c r="Z22" s="18"/>
      <c r="AA22" s="18"/>
    </row>
    <row r="23" spans="1:27" s="5" customFormat="1" ht="72.5" x14ac:dyDescent="0.35">
      <c r="A23" s="4"/>
      <c r="B23" s="7" t="s">
        <v>579</v>
      </c>
      <c r="C23" s="4" t="s">
        <v>580</v>
      </c>
      <c r="D23" s="8" t="s">
        <v>581</v>
      </c>
      <c r="E23" s="8" t="s">
        <v>582</v>
      </c>
      <c r="F23" s="1" t="s">
        <v>583</v>
      </c>
      <c r="G23" s="1"/>
      <c r="H23" s="1"/>
      <c r="I23" s="1"/>
      <c r="J23" s="1" t="s">
        <v>595</v>
      </c>
      <c r="K23" s="1" t="s">
        <v>650</v>
      </c>
      <c r="L23" s="1"/>
      <c r="M23" s="4" t="s">
        <v>648</v>
      </c>
      <c r="N23" s="1"/>
      <c r="O23" s="4" t="s">
        <v>651</v>
      </c>
      <c r="P23" s="4"/>
      <c r="Q23" s="4"/>
      <c r="R23" s="4"/>
      <c r="S23" s="4"/>
      <c r="T23" s="4"/>
      <c r="U23" s="4"/>
      <c r="V23" s="4"/>
      <c r="W23" s="18"/>
      <c r="X23" s="18"/>
      <c r="Y23" s="18"/>
      <c r="Z23" s="18"/>
      <c r="AA23" s="18"/>
    </row>
    <row r="24" spans="1:27" s="5" customFormat="1" ht="48.65" customHeight="1" x14ac:dyDescent="0.35">
      <c r="A24" s="4"/>
      <c r="B24" s="7" t="s">
        <v>579</v>
      </c>
      <c r="C24" s="4" t="s">
        <v>580</v>
      </c>
      <c r="D24" s="8" t="s">
        <v>581</v>
      </c>
      <c r="E24" s="8" t="s">
        <v>582</v>
      </c>
      <c r="F24" s="1" t="s">
        <v>583</v>
      </c>
      <c r="G24" s="1"/>
      <c r="H24" s="1"/>
      <c r="I24" s="1"/>
      <c r="J24" s="4"/>
      <c r="K24" s="1"/>
      <c r="L24" s="1" t="s">
        <v>652</v>
      </c>
      <c r="M24" s="4"/>
      <c r="N24" s="1"/>
      <c r="O24" s="4"/>
      <c r="P24" s="4"/>
      <c r="Q24" s="4"/>
      <c r="R24" s="4"/>
      <c r="S24" s="4"/>
      <c r="T24" s="4"/>
      <c r="U24" s="4"/>
      <c r="V24" s="4"/>
      <c r="W24" s="18"/>
      <c r="X24" s="18"/>
      <c r="Y24" s="18"/>
      <c r="Z24" s="18"/>
      <c r="AA24" s="18"/>
    </row>
    <row r="25" spans="1:27" s="5" customFormat="1" ht="59.65" customHeight="1" x14ac:dyDescent="0.35">
      <c r="A25" s="4"/>
      <c r="B25" s="7" t="s">
        <v>579</v>
      </c>
      <c r="C25" s="4" t="s">
        <v>580</v>
      </c>
      <c r="D25" s="8" t="s">
        <v>581</v>
      </c>
      <c r="E25" s="8" t="s">
        <v>582</v>
      </c>
      <c r="F25" s="1" t="s">
        <v>583</v>
      </c>
      <c r="G25" s="1"/>
      <c r="H25" s="1"/>
      <c r="I25" s="1"/>
      <c r="J25" s="4" t="s">
        <v>591</v>
      </c>
      <c r="K25" s="1" t="s">
        <v>653</v>
      </c>
      <c r="L25" s="1"/>
      <c r="M25" s="1" t="s">
        <v>654</v>
      </c>
      <c r="N25" s="1"/>
      <c r="O25" s="4" t="s">
        <v>655</v>
      </c>
      <c r="P25" s="4"/>
      <c r="Q25" s="4"/>
      <c r="R25" s="4"/>
      <c r="S25" s="4"/>
      <c r="T25" s="4"/>
      <c r="U25" s="4"/>
      <c r="V25" s="4" t="s">
        <v>656</v>
      </c>
      <c r="W25" s="18"/>
      <c r="X25" s="18"/>
      <c r="Y25" s="18"/>
      <c r="Z25" s="18"/>
      <c r="AA25" s="18"/>
    </row>
    <row r="26" spans="1:27" s="5" customFormat="1" ht="72.5" x14ac:dyDescent="0.35">
      <c r="A26" s="4"/>
      <c r="B26" s="7" t="s">
        <v>579</v>
      </c>
      <c r="C26" s="4" t="s">
        <v>580</v>
      </c>
      <c r="D26" s="8" t="s">
        <v>581</v>
      </c>
      <c r="E26" s="8" t="s">
        <v>582</v>
      </c>
      <c r="F26" s="1" t="s">
        <v>583</v>
      </c>
      <c r="G26" s="1"/>
      <c r="H26" s="1"/>
      <c r="I26" s="1"/>
      <c r="J26" s="4" t="s">
        <v>657</v>
      </c>
      <c r="K26" s="1" t="s">
        <v>658</v>
      </c>
      <c r="L26" s="1"/>
      <c r="M26" s="4" t="s">
        <v>134</v>
      </c>
      <c r="N26" s="1"/>
      <c r="O26" s="4" t="s">
        <v>659</v>
      </c>
      <c r="P26" s="4"/>
      <c r="Q26" s="4"/>
      <c r="R26" s="4"/>
      <c r="S26" s="4"/>
      <c r="T26" s="4"/>
      <c r="U26" s="4"/>
      <c r="V26" s="4" t="s">
        <v>616</v>
      </c>
      <c r="W26" s="18"/>
      <c r="X26" s="18"/>
      <c r="Y26" s="18"/>
      <c r="Z26" s="18"/>
      <c r="AA26" s="18"/>
    </row>
    <row r="27" spans="1:27" s="5" customFormat="1" ht="72.5" x14ac:dyDescent="0.35">
      <c r="A27" s="4"/>
      <c r="B27" s="7" t="s">
        <v>579</v>
      </c>
      <c r="C27" s="4" t="s">
        <v>580</v>
      </c>
      <c r="D27" s="8" t="s">
        <v>581</v>
      </c>
      <c r="E27" s="8" t="s">
        <v>582</v>
      </c>
      <c r="F27" s="1" t="s">
        <v>583</v>
      </c>
      <c r="G27" s="1"/>
      <c r="H27" s="1"/>
      <c r="I27" s="1"/>
      <c r="J27" s="4" t="s">
        <v>591</v>
      </c>
      <c r="K27" s="1" t="s">
        <v>660</v>
      </c>
      <c r="L27" s="1"/>
      <c r="M27" s="4" t="s">
        <v>661</v>
      </c>
      <c r="N27" s="1"/>
      <c r="O27" s="4" t="s">
        <v>662</v>
      </c>
      <c r="P27" s="4"/>
      <c r="Q27" s="4"/>
      <c r="R27" s="4"/>
      <c r="S27" s="4"/>
      <c r="T27" s="4"/>
      <c r="U27" s="4"/>
      <c r="V27" s="4" t="s">
        <v>616</v>
      </c>
      <c r="W27" s="18"/>
      <c r="X27" s="18"/>
      <c r="Y27" s="18"/>
      <c r="Z27" s="18"/>
      <c r="AA27" s="18"/>
    </row>
    <row r="28" spans="1:27" s="5" customFormat="1" ht="130.5" x14ac:dyDescent="0.35">
      <c r="A28" s="4"/>
      <c r="B28" s="7" t="s">
        <v>579</v>
      </c>
      <c r="C28" s="4" t="s">
        <v>580</v>
      </c>
      <c r="D28" s="8" t="s">
        <v>581</v>
      </c>
      <c r="E28" s="8" t="s">
        <v>582</v>
      </c>
      <c r="F28" s="1" t="s">
        <v>583</v>
      </c>
      <c r="G28" s="4"/>
      <c r="H28" s="4"/>
      <c r="I28" s="4"/>
      <c r="J28" s="4" t="s">
        <v>595</v>
      </c>
      <c r="K28" s="1" t="s">
        <v>663</v>
      </c>
      <c r="L28" s="1"/>
      <c r="M28" s="4" t="s">
        <v>664</v>
      </c>
      <c r="N28" s="1"/>
      <c r="O28" s="4" t="s">
        <v>665</v>
      </c>
      <c r="P28" s="4"/>
      <c r="Q28" s="4"/>
      <c r="R28" s="4"/>
      <c r="S28" s="4"/>
      <c r="T28" s="4"/>
      <c r="U28" s="4"/>
      <c r="V28" s="4" t="s">
        <v>666</v>
      </c>
      <c r="W28" s="4"/>
      <c r="X28" s="4"/>
      <c r="Y28" s="4"/>
      <c r="Z28" s="4"/>
      <c r="AA28" s="4"/>
    </row>
    <row r="29" spans="1:27" s="5" customFormat="1" ht="72.5" x14ac:dyDescent="0.35">
      <c r="A29" s="4"/>
      <c r="B29" s="7" t="s">
        <v>579</v>
      </c>
      <c r="C29" s="4" t="s">
        <v>580</v>
      </c>
      <c r="D29" s="8" t="s">
        <v>581</v>
      </c>
      <c r="E29" s="8" t="s">
        <v>582</v>
      </c>
      <c r="F29" s="1" t="s">
        <v>583</v>
      </c>
      <c r="G29" s="4"/>
      <c r="H29" s="4"/>
      <c r="I29" s="4"/>
      <c r="J29" s="4" t="s">
        <v>591</v>
      </c>
      <c r="K29" s="1" t="s">
        <v>667</v>
      </c>
      <c r="L29" s="1"/>
      <c r="M29" s="4" t="s">
        <v>160</v>
      </c>
      <c r="N29" s="1"/>
      <c r="O29" s="4" t="s">
        <v>668</v>
      </c>
      <c r="P29" s="4"/>
      <c r="Q29" s="4"/>
      <c r="R29" s="4"/>
      <c r="S29" s="4"/>
      <c r="T29" s="4"/>
      <c r="U29" s="4"/>
      <c r="V29" s="4" t="s">
        <v>624</v>
      </c>
      <c r="W29" s="4"/>
      <c r="X29" s="4"/>
      <c r="Y29" s="4"/>
      <c r="Z29" s="4"/>
      <c r="AA29" s="4"/>
    </row>
    <row r="30" spans="1:27" s="5" customFormat="1" ht="72.5" x14ac:dyDescent="0.35">
      <c r="A30" s="4"/>
      <c r="B30" s="7" t="s">
        <v>579</v>
      </c>
      <c r="C30" s="4" t="s">
        <v>580</v>
      </c>
      <c r="D30" s="8" t="s">
        <v>581</v>
      </c>
      <c r="E30" s="8" t="s">
        <v>582</v>
      </c>
      <c r="F30" s="1" t="s">
        <v>583</v>
      </c>
      <c r="G30" s="4"/>
      <c r="H30" s="4"/>
      <c r="I30" s="4"/>
      <c r="J30" s="4" t="s">
        <v>591</v>
      </c>
      <c r="K30" s="1" t="s">
        <v>669</v>
      </c>
      <c r="L30" s="1"/>
      <c r="M30" s="4" t="s">
        <v>153</v>
      </c>
      <c r="N30" s="1"/>
      <c r="O30" s="4" t="s">
        <v>670</v>
      </c>
      <c r="P30" s="4"/>
      <c r="Q30" s="4"/>
      <c r="R30" s="4"/>
      <c r="S30" s="4"/>
      <c r="T30" s="4"/>
      <c r="U30" s="4"/>
      <c r="V30" s="4" t="s">
        <v>633</v>
      </c>
      <c r="W30" s="4"/>
      <c r="X30" s="4"/>
      <c r="Y30" s="4"/>
      <c r="Z30" s="4"/>
      <c r="AA30" s="4"/>
    </row>
    <row r="31" spans="1:27" s="5" customFormat="1" ht="232" x14ac:dyDescent="0.35">
      <c r="A31" s="4"/>
      <c r="B31" s="7" t="s">
        <v>579</v>
      </c>
      <c r="C31" s="4" t="s">
        <v>580</v>
      </c>
      <c r="D31" s="8" t="s">
        <v>581</v>
      </c>
      <c r="E31" s="8" t="s">
        <v>582</v>
      </c>
      <c r="F31" s="1" t="s">
        <v>583</v>
      </c>
      <c r="G31" s="4"/>
      <c r="H31" s="4"/>
      <c r="I31" s="4"/>
      <c r="J31" s="4" t="s">
        <v>671</v>
      </c>
      <c r="K31" s="1" t="s">
        <v>672</v>
      </c>
      <c r="L31" s="1"/>
      <c r="M31" s="4" t="s">
        <v>673</v>
      </c>
      <c r="N31" s="1"/>
      <c r="O31" s="4" t="s">
        <v>674</v>
      </c>
      <c r="P31" s="4"/>
      <c r="Q31" s="4"/>
      <c r="R31" s="4"/>
      <c r="S31" s="4"/>
      <c r="T31" s="4"/>
      <c r="U31" s="4"/>
      <c r="V31" s="4" t="s">
        <v>624</v>
      </c>
      <c r="W31" s="4"/>
      <c r="X31" s="4"/>
      <c r="Y31" s="4"/>
      <c r="Z31" s="4"/>
      <c r="AA31" s="4"/>
    </row>
    <row r="32" spans="1:27" s="5" customFormat="1" ht="116" x14ac:dyDescent="0.35">
      <c r="A32" s="4"/>
      <c r="B32" s="7" t="s">
        <v>579</v>
      </c>
      <c r="C32" s="4" t="s">
        <v>580</v>
      </c>
      <c r="D32" s="8" t="s">
        <v>581</v>
      </c>
      <c r="E32" s="8" t="s">
        <v>582</v>
      </c>
      <c r="F32" s="1" t="s">
        <v>583</v>
      </c>
      <c r="G32" s="4"/>
      <c r="H32" s="4"/>
      <c r="I32" s="4"/>
      <c r="J32" s="4" t="s">
        <v>675</v>
      </c>
      <c r="K32" s="1" t="s">
        <v>676</v>
      </c>
      <c r="L32" s="1"/>
      <c r="M32" s="4" t="s">
        <v>677</v>
      </c>
      <c r="N32" s="1"/>
      <c r="O32" s="4" t="s">
        <v>678</v>
      </c>
      <c r="P32" s="4"/>
      <c r="Q32" s="4"/>
      <c r="R32" s="4"/>
      <c r="S32" s="4"/>
      <c r="T32" s="4"/>
      <c r="U32" s="4"/>
      <c r="V32" s="4" t="s">
        <v>624</v>
      </c>
      <c r="W32" s="4"/>
      <c r="X32" s="4"/>
      <c r="Y32" s="4"/>
      <c r="Z32" s="4"/>
      <c r="AA32" s="4"/>
    </row>
    <row r="33" spans="1:27" s="5" customFormat="1" ht="409.5" x14ac:dyDescent="0.35">
      <c r="A33" s="4"/>
      <c r="B33" s="7" t="s">
        <v>579</v>
      </c>
      <c r="C33" s="4" t="s">
        <v>580</v>
      </c>
      <c r="D33" s="8" t="s">
        <v>581</v>
      </c>
      <c r="E33" s="8" t="s">
        <v>582</v>
      </c>
      <c r="F33" s="1" t="s">
        <v>583</v>
      </c>
      <c r="G33" s="4"/>
      <c r="H33" s="4"/>
      <c r="I33" s="4"/>
      <c r="J33" s="4"/>
      <c r="K33" s="1"/>
      <c r="L33" s="1" t="s">
        <v>679</v>
      </c>
      <c r="M33" s="4"/>
      <c r="N33" s="1"/>
      <c r="O33" s="4"/>
      <c r="P33" s="4"/>
      <c r="Q33" s="4"/>
      <c r="R33" s="4"/>
      <c r="S33" s="4"/>
      <c r="T33" s="4"/>
      <c r="U33" s="4"/>
      <c r="V33" s="4"/>
      <c r="W33" s="4"/>
      <c r="X33" s="4"/>
      <c r="Y33" s="4"/>
      <c r="Z33" s="4"/>
      <c r="AA33" s="4"/>
    </row>
    <row r="34" spans="1:27" s="5" customFormat="1" ht="72.5" x14ac:dyDescent="0.35">
      <c r="A34" s="4"/>
      <c r="B34" s="7" t="s">
        <v>579</v>
      </c>
      <c r="C34" s="4" t="s">
        <v>580</v>
      </c>
      <c r="D34" s="8" t="s">
        <v>581</v>
      </c>
      <c r="E34" s="8" t="s">
        <v>582</v>
      </c>
      <c r="F34" s="1" t="s">
        <v>583</v>
      </c>
      <c r="G34" s="4"/>
      <c r="H34" s="4"/>
      <c r="I34" s="4"/>
      <c r="J34" s="4" t="s">
        <v>680</v>
      </c>
      <c r="K34" s="1" t="s">
        <v>129</v>
      </c>
      <c r="L34" s="1"/>
      <c r="M34" s="4" t="s">
        <v>124</v>
      </c>
      <c r="N34" s="1"/>
      <c r="O34" s="4" t="s">
        <v>681</v>
      </c>
      <c r="P34" s="4"/>
      <c r="Q34" s="4"/>
      <c r="R34" s="4"/>
      <c r="S34" s="4"/>
      <c r="T34" s="4"/>
      <c r="U34" s="4"/>
      <c r="V34" s="4" t="s">
        <v>624</v>
      </c>
      <c r="W34" s="4"/>
      <c r="X34" s="4"/>
      <c r="Y34" s="4"/>
      <c r="Z34" s="4"/>
      <c r="AA34" s="4"/>
    </row>
    <row r="35" spans="1:27" s="5" customFormat="1" ht="72.5" x14ac:dyDescent="0.35">
      <c r="A35" s="4"/>
      <c r="B35" s="7" t="s">
        <v>579</v>
      </c>
      <c r="C35" s="4" t="s">
        <v>580</v>
      </c>
      <c r="D35" s="8" t="s">
        <v>581</v>
      </c>
      <c r="E35" s="8" t="s">
        <v>582</v>
      </c>
      <c r="F35" s="1" t="s">
        <v>583</v>
      </c>
      <c r="G35" s="4"/>
      <c r="H35" s="4"/>
      <c r="I35" s="4"/>
      <c r="J35" s="4" t="s">
        <v>595</v>
      </c>
      <c r="K35" s="1" t="s">
        <v>163</v>
      </c>
      <c r="L35" s="1"/>
      <c r="M35" s="4" t="s">
        <v>682</v>
      </c>
      <c r="N35" s="1"/>
      <c r="O35" s="4" t="s">
        <v>165</v>
      </c>
      <c r="P35" s="4"/>
      <c r="Q35" s="4"/>
      <c r="R35" s="4"/>
      <c r="S35" s="4"/>
      <c r="T35" s="4"/>
      <c r="U35" s="4"/>
      <c r="V35" s="4" t="s">
        <v>624</v>
      </c>
      <c r="W35" s="4"/>
      <c r="X35" s="4"/>
      <c r="Y35" s="4"/>
      <c r="Z35" s="4"/>
      <c r="AA35" s="4"/>
    </row>
    <row r="36" spans="1:27" s="5" customFormat="1" ht="72.5" x14ac:dyDescent="0.35">
      <c r="A36" s="4"/>
      <c r="B36" s="7" t="s">
        <v>579</v>
      </c>
      <c r="C36" s="4" t="s">
        <v>580</v>
      </c>
      <c r="D36" s="8" t="s">
        <v>581</v>
      </c>
      <c r="E36" s="8" t="s">
        <v>582</v>
      </c>
      <c r="F36" s="1" t="s">
        <v>583</v>
      </c>
      <c r="G36" s="4"/>
      <c r="H36" s="4"/>
      <c r="I36" s="4"/>
      <c r="J36" s="4" t="s">
        <v>680</v>
      </c>
      <c r="K36" s="1" t="s">
        <v>683</v>
      </c>
      <c r="L36" s="1"/>
      <c r="M36" s="4" t="s">
        <v>684</v>
      </c>
      <c r="N36" s="1"/>
      <c r="O36" s="4" t="s">
        <v>685</v>
      </c>
      <c r="P36" s="4"/>
      <c r="Q36" s="4"/>
      <c r="R36" s="4"/>
      <c r="S36" s="4"/>
      <c r="T36" s="4"/>
      <c r="U36" s="4"/>
      <c r="V36" s="4" t="s">
        <v>624</v>
      </c>
      <c r="W36" s="4"/>
      <c r="X36" s="4"/>
      <c r="Y36" s="4"/>
      <c r="Z36" s="4"/>
      <c r="AA36" s="4"/>
    </row>
    <row r="37" spans="1:27" s="5" customFormat="1" ht="72.5" x14ac:dyDescent="0.35">
      <c r="A37" s="4"/>
      <c r="B37" s="7" t="s">
        <v>579</v>
      </c>
      <c r="C37" s="4" t="s">
        <v>580</v>
      </c>
      <c r="D37" s="8" t="s">
        <v>581</v>
      </c>
      <c r="E37" s="8" t="s">
        <v>582</v>
      </c>
      <c r="F37" s="1" t="s">
        <v>583</v>
      </c>
      <c r="G37" s="4"/>
      <c r="H37" s="4"/>
      <c r="I37" s="4"/>
      <c r="J37" s="4" t="s">
        <v>601</v>
      </c>
      <c r="K37" s="1" t="s">
        <v>686</v>
      </c>
      <c r="L37" s="1"/>
      <c r="M37" s="4" t="s">
        <v>687</v>
      </c>
      <c r="N37" s="1"/>
      <c r="O37" s="4" t="s">
        <v>688</v>
      </c>
      <c r="P37" s="4"/>
      <c r="Q37" s="4"/>
      <c r="R37" s="4"/>
      <c r="S37" s="4"/>
      <c r="T37" s="4"/>
      <c r="U37" s="4"/>
      <c r="V37" s="4" t="s">
        <v>633</v>
      </c>
      <c r="W37" s="4"/>
      <c r="X37" s="4"/>
      <c r="Y37" s="4"/>
      <c r="Z37" s="4"/>
      <c r="AA37" s="4"/>
    </row>
    <row r="38" spans="1:27" s="5" customFormat="1" ht="87" x14ac:dyDescent="0.35">
      <c r="A38" s="4"/>
      <c r="B38" s="7" t="s">
        <v>579</v>
      </c>
      <c r="C38" s="4" t="s">
        <v>580</v>
      </c>
      <c r="D38" s="8" t="s">
        <v>581</v>
      </c>
      <c r="E38" s="8" t="s">
        <v>582</v>
      </c>
      <c r="F38" s="1" t="s">
        <v>583</v>
      </c>
      <c r="G38" s="4"/>
      <c r="H38" s="4"/>
      <c r="I38" s="4"/>
      <c r="J38" s="4" t="s">
        <v>680</v>
      </c>
      <c r="K38" s="1" t="s">
        <v>689</v>
      </c>
      <c r="L38" s="1"/>
      <c r="M38" s="4" t="s">
        <v>309</v>
      </c>
      <c r="N38" s="1"/>
      <c r="O38" s="4" t="s">
        <v>690</v>
      </c>
      <c r="P38" s="4"/>
      <c r="Q38" s="4"/>
      <c r="R38" s="4"/>
      <c r="S38" s="4"/>
      <c r="T38" s="4"/>
      <c r="U38" s="4"/>
      <c r="V38" s="4" t="s">
        <v>624</v>
      </c>
      <c r="W38" s="4"/>
      <c r="X38" s="4"/>
      <c r="Y38" s="4"/>
      <c r="Z38" s="4"/>
      <c r="AA38" s="4"/>
    </row>
    <row r="39" spans="1:27" s="5" customFormat="1" ht="72.5" x14ac:dyDescent="0.35">
      <c r="A39" s="4"/>
      <c r="B39" s="7" t="s">
        <v>579</v>
      </c>
      <c r="C39" s="4" t="s">
        <v>580</v>
      </c>
      <c r="D39" s="8" t="s">
        <v>581</v>
      </c>
      <c r="E39" s="8" t="s">
        <v>582</v>
      </c>
      <c r="F39" s="1" t="s">
        <v>583</v>
      </c>
      <c r="G39" s="4"/>
      <c r="H39" s="4"/>
      <c r="I39" s="4"/>
      <c r="J39" s="4" t="s">
        <v>680</v>
      </c>
      <c r="K39" s="1" t="s">
        <v>691</v>
      </c>
      <c r="L39" s="1"/>
      <c r="M39" s="4" t="s">
        <v>692</v>
      </c>
      <c r="N39" s="1"/>
      <c r="O39" s="4" t="s">
        <v>693</v>
      </c>
      <c r="P39" s="4"/>
      <c r="Q39" s="4"/>
      <c r="R39" s="4"/>
      <c r="S39" s="4"/>
      <c r="T39" s="4"/>
      <c r="U39" s="4"/>
      <c r="V39" s="4" t="s">
        <v>624</v>
      </c>
      <c r="W39" s="4"/>
      <c r="X39" s="4"/>
      <c r="Y39" s="4"/>
      <c r="Z39" s="4"/>
      <c r="AA39" s="4"/>
    </row>
    <row r="40" spans="1:27" s="5" customFormat="1" ht="348" x14ac:dyDescent="0.35">
      <c r="A40" s="4"/>
      <c r="B40" s="7" t="s">
        <v>579</v>
      </c>
      <c r="C40" s="4" t="s">
        <v>580</v>
      </c>
      <c r="D40" s="8" t="s">
        <v>581</v>
      </c>
      <c r="E40" s="8" t="s">
        <v>582</v>
      </c>
      <c r="F40" s="1" t="s">
        <v>583</v>
      </c>
      <c r="G40" s="4"/>
      <c r="H40" s="4"/>
      <c r="I40" s="4"/>
      <c r="J40" s="4" t="s">
        <v>601</v>
      </c>
      <c r="K40" s="1" t="s">
        <v>694</v>
      </c>
      <c r="L40" s="1" t="s">
        <v>695</v>
      </c>
      <c r="M40" s="4" t="s">
        <v>696</v>
      </c>
      <c r="N40" s="1"/>
      <c r="O40" s="4" t="s">
        <v>697</v>
      </c>
      <c r="P40" s="4"/>
      <c r="Q40" s="4"/>
      <c r="R40" s="4"/>
      <c r="S40" s="4"/>
      <c r="T40" s="4"/>
      <c r="U40" s="4"/>
      <c r="V40" s="4" t="s">
        <v>624</v>
      </c>
      <c r="W40" s="4"/>
      <c r="X40" s="4"/>
      <c r="Y40" s="4"/>
      <c r="Z40" s="4"/>
      <c r="AA40" s="4"/>
    </row>
    <row r="41" spans="1:27" s="5" customFormat="1" ht="409.5" x14ac:dyDescent="0.35">
      <c r="A41" s="4"/>
      <c r="B41" s="7" t="s">
        <v>579</v>
      </c>
      <c r="C41" s="4" t="s">
        <v>580</v>
      </c>
      <c r="D41" s="8" t="s">
        <v>581</v>
      </c>
      <c r="E41" s="8" t="s">
        <v>582</v>
      </c>
      <c r="F41" s="1" t="s">
        <v>583</v>
      </c>
      <c r="G41" s="4"/>
      <c r="H41" s="4"/>
      <c r="I41" s="4"/>
      <c r="J41" s="4"/>
      <c r="K41" s="1"/>
      <c r="L41" s="1" t="s">
        <v>698</v>
      </c>
      <c r="M41" s="4"/>
      <c r="N41" s="1"/>
      <c r="O41" s="4"/>
      <c r="P41" s="4"/>
      <c r="Q41" s="4"/>
      <c r="R41" s="4"/>
      <c r="S41" s="4"/>
      <c r="T41" s="4"/>
      <c r="U41" s="4"/>
      <c r="V41" s="4"/>
      <c r="W41" s="4"/>
      <c r="X41" s="4"/>
      <c r="Y41" s="4"/>
      <c r="Z41" s="4"/>
      <c r="AA41" s="4"/>
    </row>
    <row r="42" spans="1:27" s="5" customFormat="1" x14ac:dyDescent="0.35">
      <c r="A42" s="4"/>
      <c r="B42" s="7"/>
      <c r="C42" s="4"/>
      <c r="D42" s="8"/>
      <c r="E42" s="8"/>
      <c r="F42" s="1"/>
      <c r="G42" s="4"/>
      <c r="H42" s="4"/>
      <c r="I42" s="4"/>
      <c r="J42" s="4"/>
      <c r="K42" s="1"/>
      <c r="L42" s="1"/>
      <c r="M42" s="4"/>
      <c r="N42" s="1"/>
      <c r="O42" s="4"/>
      <c r="P42" s="4"/>
      <c r="Q42" s="4"/>
      <c r="R42" s="4"/>
      <c r="S42" s="4"/>
      <c r="T42" s="4"/>
      <c r="U42" s="4"/>
      <c r="V42" s="4"/>
      <c r="W42" s="4"/>
      <c r="X42" s="4"/>
      <c r="Y42" s="4"/>
      <c r="Z42" s="4"/>
      <c r="AA42" s="4"/>
    </row>
    <row r="43" spans="1:27" s="5" customFormat="1" ht="72.5" x14ac:dyDescent="0.35">
      <c r="A43" s="4"/>
      <c r="B43" s="7" t="s">
        <v>579</v>
      </c>
      <c r="C43" s="4" t="s">
        <v>580</v>
      </c>
      <c r="D43" s="8" t="s">
        <v>581</v>
      </c>
      <c r="E43" s="8" t="s">
        <v>582</v>
      </c>
      <c r="F43" s="1" t="s">
        <v>583</v>
      </c>
      <c r="G43" s="4"/>
      <c r="H43" s="4"/>
      <c r="I43" s="4"/>
      <c r="J43" s="4" t="s">
        <v>591</v>
      </c>
      <c r="K43" s="1" t="s">
        <v>699</v>
      </c>
      <c r="L43" s="1"/>
      <c r="M43" s="4" t="s">
        <v>700</v>
      </c>
      <c r="N43" s="1"/>
      <c r="O43" s="4" t="s">
        <v>701</v>
      </c>
      <c r="P43" s="4"/>
      <c r="Q43" s="4"/>
      <c r="R43" s="4"/>
      <c r="S43" s="4"/>
      <c r="T43" s="4"/>
      <c r="U43" s="4"/>
      <c r="V43" s="4" t="s">
        <v>633</v>
      </c>
      <c r="W43" s="4"/>
      <c r="X43" s="4"/>
      <c r="Y43" s="4"/>
      <c r="Z43" s="4"/>
      <c r="AA43" s="4"/>
    </row>
    <row r="44" spans="1:27" s="5" customFormat="1" ht="72.5" x14ac:dyDescent="0.35">
      <c r="A44" s="4"/>
      <c r="B44" s="7" t="s">
        <v>579</v>
      </c>
      <c r="C44" s="4" t="s">
        <v>580</v>
      </c>
      <c r="D44" s="8" t="s">
        <v>581</v>
      </c>
      <c r="E44" s="8" t="s">
        <v>582</v>
      </c>
      <c r="F44" s="1" t="s">
        <v>583</v>
      </c>
      <c r="G44" s="4"/>
      <c r="H44" s="4"/>
      <c r="I44" s="4"/>
      <c r="J44" s="4" t="s">
        <v>591</v>
      </c>
      <c r="K44" s="1" t="s">
        <v>702</v>
      </c>
      <c r="L44" s="1"/>
      <c r="M44" s="4" t="s">
        <v>703</v>
      </c>
      <c r="N44" s="1"/>
      <c r="O44" s="4" t="s">
        <v>704</v>
      </c>
      <c r="P44" s="4"/>
      <c r="Q44" s="4"/>
      <c r="R44" s="4"/>
      <c r="S44" s="4"/>
      <c r="T44" s="4"/>
      <c r="U44" s="4"/>
      <c r="V44" s="4" t="s">
        <v>633</v>
      </c>
      <c r="W44" s="4"/>
      <c r="X44" s="4"/>
      <c r="Y44" s="4"/>
      <c r="Z44" s="4"/>
      <c r="AA44" s="4"/>
    </row>
    <row r="45" spans="1:27" s="5" customFormat="1" ht="72.5" x14ac:dyDescent="0.35">
      <c r="A45" s="4"/>
      <c r="B45" s="7" t="s">
        <v>579</v>
      </c>
      <c r="C45" s="4" t="s">
        <v>580</v>
      </c>
      <c r="D45" s="8" t="s">
        <v>581</v>
      </c>
      <c r="E45" s="8" t="s">
        <v>582</v>
      </c>
      <c r="F45" s="1" t="s">
        <v>583</v>
      </c>
      <c r="G45" s="4"/>
      <c r="H45" s="4"/>
      <c r="I45" s="4"/>
      <c r="J45" s="4" t="s">
        <v>591</v>
      </c>
      <c r="K45" s="1" t="s">
        <v>705</v>
      </c>
      <c r="L45" s="1"/>
      <c r="M45" s="4" t="s">
        <v>706</v>
      </c>
      <c r="N45" s="1"/>
      <c r="O45" s="4" t="s">
        <v>707</v>
      </c>
      <c r="P45" s="4"/>
      <c r="Q45" s="4"/>
      <c r="R45" s="4"/>
      <c r="S45" s="4"/>
      <c r="T45" s="4"/>
      <c r="U45" s="4"/>
      <c r="V45" s="4" t="s">
        <v>624</v>
      </c>
      <c r="W45" s="4"/>
      <c r="X45" s="4"/>
      <c r="Y45" s="4"/>
      <c r="Z45" s="4"/>
      <c r="AA45" s="4"/>
    </row>
    <row r="46" spans="1:27" s="5" customFormat="1" ht="72.5" x14ac:dyDescent="0.35">
      <c r="A46" s="4"/>
      <c r="B46" s="7" t="s">
        <v>579</v>
      </c>
      <c r="C46" s="4" t="s">
        <v>580</v>
      </c>
      <c r="D46" s="8" t="s">
        <v>581</v>
      </c>
      <c r="E46" s="8" t="s">
        <v>582</v>
      </c>
      <c r="F46" s="1" t="s">
        <v>583</v>
      </c>
      <c r="G46" s="4"/>
      <c r="H46" s="4"/>
      <c r="I46" s="4"/>
      <c r="J46" s="1" t="s">
        <v>601</v>
      </c>
      <c r="K46" s="1" t="s">
        <v>708</v>
      </c>
      <c r="L46" s="1"/>
      <c r="M46" s="4" t="s">
        <v>178</v>
      </c>
      <c r="N46" s="1"/>
      <c r="O46" s="4" t="s">
        <v>179</v>
      </c>
      <c r="P46" s="4"/>
      <c r="Q46" s="4"/>
      <c r="R46" s="4"/>
      <c r="S46" s="4"/>
      <c r="T46" s="4"/>
      <c r="U46" s="4"/>
      <c r="V46" s="4" t="s">
        <v>624</v>
      </c>
      <c r="W46" s="4"/>
      <c r="X46" s="4"/>
      <c r="Y46" s="4"/>
      <c r="Z46" s="4"/>
      <c r="AA46" s="4"/>
    </row>
    <row r="47" spans="1:27" s="5" customFormat="1" ht="72.5" x14ac:dyDescent="0.35">
      <c r="A47" s="4"/>
      <c r="B47" s="7" t="s">
        <v>579</v>
      </c>
      <c r="C47" s="4" t="s">
        <v>580</v>
      </c>
      <c r="D47" s="8" t="s">
        <v>581</v>
      </c>
      <c r="E47" s="8" t="s">
        <v>582</v>
      </c>
      <c r="F47" s="1" t="s">
        <v>583</v>
      </c>
      <c r="G47" s="4"/>
      <c r="H47" s="4"/>
      <c r="I47" s="4"/>
      <c r="J47" s="4" t="s">
        <v>657</v>
      </c>
      <c r="K47" s="1" t="s">
        <v>709</v>
      </c>
      <c r="L47" s="1"/>
      <c r="M47" s="4" t="s">
        <v>174</v>
      </c>
      <c r="N47" s="1"/>
      <c r="O47" s="4" t="s">
        <v>710</v>
      </c>
      <c r="P47" s="4"/>
      <c r="Q47" s="4"/>
      <c r="R47" s="4"/>
      <c r="S47" s="4"/>
      <c r="T47" s="4"/>
      <c r="U47" s="4"/>
      <c r="V47" s="4" t="s">
        <v>624</v>
      </c>
      <c r="W47" s="4"/>
      <c r="X47" s="4"/>
      <c r="Y47" s="4"/>
      <c r="Z47" s="4"/>
      <c r="AA47" s="4"/>
    </row>
    <row r="48" spans="1:27" s="5" customFormat="1" ht="101.5" x14ac:dyDescent="0.35">
      <c r="A48" s="4"/>
      <c r="B48" s="7" t="s">
        <v>579</v>
      </c>
      <c r="C48" s="4" t="s">
        <v>580</v>
      </c>
      <c r="D48" s="8" t="s">
        <v>581</v>
      </c>
      <c r="E48" s="8" t="s">
        <v>582</v>
      </c>
      <c r="F48" s="1" t="s">
        <v>583</v>
      </c>
      <c r="G48" s="4"/>
      <c r="H48" s="4"/>
      <c r="I48" s="4"/>
      <c r="J48" s="4" t="s">
        <v>591</v>
      </c>
      <c r="K48" s="1" t="s">
        <v>711</v>
      </c>
      <c r="L48" s="1"/>
      <c r="M48" s="4" t="s">
        <v>357</v>
      </c>
      <c r="N48" s="1"/>
      <c r="O48" s="4" t="s">
        <v>358</v>
      </c>
      <c r="P48" s="4"/>
      <c r="Q48" s="4"/>
      <c r="R48" s="4"/>
      <c r="S48" s="4"/>
      <c r="T48" s="4"/>
      <c r="U48" s="4"/>
      <c r="V48" s="4" t="s">
        <v>624</v>
      </c>
      <c r="W48" s="4"/>
      <c r="X48" s="4"/>
      <c r="Y48" s="4"/>
      <c r="Z48" s="4"/>
      <c r="AA48" s="4"/>
    </row>
    <row r="49" spans="1:27" s="5" customFormat="1" ht="72.5" x14ac:dyDescent="0.35">
      <c r="A49" s="4"/>
      <c r="B49" s="7" t="s">
        <v>579</v>
      </c>
      <c r="C49" s="4" t="s">
        <v>580</v>
      </c>
      <c r="D49" s="8" t="s">
        <v>581</v>
      </c>
      <c r="E49" s="8" t="s">
        <v>582</v>
      </c>
      <c r="F49" s="1" t="s">
        <v>583</v>
      </c>
      <c r="G49" s="4"/>
      <c r="H49" s="4"/>
      <c r="I49" s="4"/>
      <c r="J49" s="4" t="s">
        <v>601</v>
      </c>
      <c r="K49" s="1" t="s">
        <v>339</v>
      </c>
      <c r="L49" s="1"/>
      <c r="M49" s="4" t="s">
        <v>340</v>
      </c>
      <c r="N49" s="1"/>
      <c r="O49" s="4" t="s">
        <v>341</v>
      </c>
      <c r="P49" s="4"/>
      <c r="Q49" s="4"/>
      <c r="R49" s="4"/>
      <c r="S49" s="4"/>
      <c r="T49" s="4"/>
      <c r="U49" s="4"/>
      <c r="V49" s="4" t="s">
        <v>624</v>
      </c>
      <c r="W49" s="4"/>
      <c r="X49" s="4"/>
      <c r="Y49" s="4"/>
      <c r="Z49" s="4"/>
      <c r="AA49" s="4"/>
    </row>
    <row r="50" spans="1:27" s="5" customFormat="1" ht="72.5" x14ac:dyDescent="0.35">
      <c r="A50" s="4"/>
      <c r="B50" s="7" t="s">
        <v>579</v>
      </c>
      <c r="C50" s="4" t="s">
        <v>580</v>
      </c>
      <c r="D50" s="8" t="s">
        <v>581</v>
      </c>
      <c r="E50" s="8" t="s">
        <v>582</v>
      </c>
      <c r="F50" s="1" t="s">
        <v>583</v>
      </c>
      <c r="G50" s="4"/>
      <c r="H50" s="4"/>
      <c r="I50" s="4"/>
      <c r="J50" s="4" t="s">
        <v>601</v>
      </c>
      <c r="K50" s="1" t="s">
        <v>712</v>
      </c>
      <c r="L50" s="1"/>
      <c r="M50" s="4" t="s">
        <v>344</v>
      </c>
      <c r="N50" s="1"/>
      <c r="O50" s="4" t="s">
        <v>345</v>
      </c>
      <c r="P50" s="4"/>
      <c r="Q50" s="4"/>
      <c r="R50" s="4"/>
      <c r="S50" s="4"/>
      <c r="T50" s="4"/>
      <c r="U50" s="4"/>
      <c r="V50" s="4" t="s">
        <v>624</v>
      </c>
      <c r="W50" s="4"/>
      <c r="X50" s="4"/>
      <c r="Y50" s="4"/>
      <c r="Z50" s="4"/>
      <c r="AA50" s="4"/>
    </row>
    <row r="51" spans="1:27" s="5" customFormat="1" ht="72.5" x14ac:dyDescent="0.35">
      <c r="A51" s="4"/>
      <c r="B51" s="7" t="s">
        <v>579</v>
      </c>
      <c r="C51" s="4" t="s">
        <v>580</v>
      </c>
      <c r="D51" s="8" t="s">
        <v>581</v>
      </c>
      <c r="E51" s="8" t="s">
        <v>582</v>
      </c>
      <c r="F51" s="1" t="s">
        <v>583</v>
      </c>
      <c r="G51" s="4"/>
      <c r="H51" s="4"/>
      <c r="I51" s="4"/>
      <c r="J51" s="4" t="s">
        <v>713</v>
      </c>
      <c r="K51" s="1" t="s">
        <v>714</v>
      </c>
      <c r="L51" s="1"/>
      <c r="M51" s="4" t="s">
        <v>715</v>
      </c>
      <c r="N51" s="1"/>
      <c r="O51" s="4" t="s">
        <v>716</v>
      </c>
      <c r="P51" s="4"/>
      <c r="Q51" s="4"/>
      <c r="R51" s="4"/>
      <c r="S51" s="4"/>
      <c r="T51" s="4"/>
      <c r="U51" s="4"/>
      <c r="V51" s="4" t="s">
        <v>633</v>
      </c>
      <c r="W51" s="4"/>
      <c r="X51" s="4"/>
      <c r="Y51" s="4"/>
      <c r="Z51" s="4"/>
      <c r="AA51" s="4"/>
    </row>
    <row r="52" spans="1:27" s="5" customFormat="1" ht="72.5" x14ac:dyDescent="0.35">
      <c r="A52" s="4"/>
      <c r="B52" s="7" t="s">
        <v>579</v>
      </c>
      <c r="C52" s="4" t="s">
        <v>580</v>
      </c>
      <c r="D52" s="8" t="s">
        <v>581</v>
      </c>
      <c r="E52" s="8" t="s">
        <v>582</v>
      </c>
      <c r="F52" s="1" t="s">
        <v>583</v>
      </c>
      <c r="G52" s="4"/>
      <c r="H52" s="4"/>
      <c r="I52" s="4"/>
      <c r="J52" s="4" t="s">
        <v>591</v>
      </c>
      <c r="K52" s="1" t="s">
        <v>592</v>
      </c>
      <c r="L52" s="1"/>
      <c r="M52" s="4" t="s">
        <v>593</v>
      </c>
      <c r="N52" s="1"/>
      <c r="O52" s="4" t="s">
        <v>594</v>
      </c>
      <c r="P52" s="4"/>
      <c r="Q52" s="4"/>
      <c r="R52" s="4"/>
      <c r="S52" s="4"/>
      <c r="T52" s="4"/>
      <c r="U52" s="4"/>
      <c r="V52" s="4" t="s">
        <v>633</v>
      </c>
      <c r="W52" s="4"/>
      <c r="X52" s="4"/>
      <c r="Y52" s="4"/>
      <c r="Z52" s="4"/>
      <c r="AA52" s="4"/>
    </row>
    <row r="53" spans="1:27" s="5" customFormat="1" ht="159.5" x14ac:dyDescent="0.35">
      <c r="A53" s="4"/>
      <c r="B53" s="7" t="s">
        <v>579</v>
      </c>
      <c r="C53" s="4" t="s">
        <v>580</v>
      </c>
      <c r="D53" s="8" t="s">
        <v>581</v>
      </c>
      <c r="E53" s="8" t="s">
        <v>582</v>
      </c>
      <c r="F53" s="1" t="s">
        <v>583</v>
      </c>
      <c r="G53" s="4"/>
      <c r="H53" s="4"/>
      <c r="I53" s="4"/>
      <c r="J53" s="4" t="s">
        <v>601</v>
      </c>
      <c r="K53" s="1" t="s">
        <v>717</v>
      </c>
      <c r="L53" s="1"/>
      <c r="M53" s="4" t="s">
        <v>348</v>
      </c>
      <c r="N53" s="1"/>
      <c r="O53" s="4" t="s">
        <v>349</v>
      </c>
      <c r="P53" s="4"/>
      <c r="Q53" s="4"/>
      <c r="R53" s="4"/>
      <c r="S53" s="4"/>
      <c r="T53" s="4"/>
      <c r="U53" s="4"/>
      <c r="V53" s="4" t="s">
        <v>718</v>
      </c>
      <c r="W53" s="4"/>
      <c r="X53" s="4"/>
      <c r="Y53" s="4"/>
      <c r="Z53" s="4"/>
      <c r="AA53" s="4"/>
    </row>
    <row r="54" spans="1:27" s="5" customFormat="1" ht="159.5" x14ac:dyDescent="0.35">
      <c r="A54" s="4"/>
      <c r="B54" s="7" t="s">
        <v>579</v>
      </c>
      <c r="C54" s="4" t="s">
        <v>580</v>
      </c>
      <c r="D54" s="8" t="s">
        <v>581</v>
      </c>
      <c r="E54" s="8" t="s">
        <v>582</v>
      </c>
      <c r="F54" s="1" t="s">
        <v>583</v>
      </c>
      <c r="G54" s="4"/>
      <c r="H54" s="4"/>
      <c r="I54" s="4"/>
      <c r="J54" s="4" t="s">
        <v>601</v>
      </c>
      <c r="K54" s="1" t="s">
        <v>351</v>
      </c>
      <c r="L54" s="1"/>
      <c r="M54" s="4" t="s">
        <v>348</v>
      </c>
      <c r="N54" s="1"/>
      <c r="O54" s="4" t="s">
        <v>352</v>
      </c>
      <c r="P54" s="4"/>
      <c r="Q54" s="4"/>
      <c r="R54" s="4"/>
      <c r="S54" s="4"/>
      <c r="T54" s="4"/>
      <c r="U54" s="4"/>
      <c r="V54" s="4" t="s">
        <v>719</v>
      </c>
      <c r="W54" s="4"/>
      <c r="X54" s="4"/>
      <c r="Y54" s="4"/>
      <c r="Z54" s="4"/>
      <c r="AA54" s="4"/>
    </row>
    <row r="55" spans="1:27" s="5" customFormat="1" ht="72.5" x14ac:dyDescent="0.35">
      <c r="A55" s="4"/>
      <c r="B55" s="7" t="s">
        <v>579</v>
      </c>
      <c r="C55" s="4" t="s">
        <v>580</v>
      </c>
      <c r="D55" s="8" t="s">
        <v>581</v>
      </c>
      <c r="E55" s="8" t="s">
        <v>582</v>
      </c>
      <c r="F55" s="1" t="s">
        <v>583</v>
      </c>
      <c r="G55" s="4"/>
      <c r="H55" s="4"/>
      <c r="I55" s="4"/>
      <c r="J55" s="4" t="s">
        <v>601</v>
      </c>
      <c r="K55" s="1" t="s">
        <v>720</v>
      </c>
      <c r="L55" s="1"/>
      <c r="M55" s="4" t="s">
        <v>721</v>
      </c>
      <c r="N55" s="1"/>
      <c r="O55" s="4" t="s">
        <v>722</v>
      </c>
      <c r="P55" s="4"/>
      <c r="Q55" s="4"/>
      <c r="R55" s="4"/>
      <c r="S55" s="4"/>
      <c r="T55" s="4"/>
      <c r="U55" s="4"/>
      <c r="V55" s="4" t="s">
        <v>624</v>
      </c>
      <c r="W55" s="4"/>
      <c r="X55" s="4"/>
      <c r="Y55" s="4"/>
      <c r="Z55" s="4"/>
      <c r="AA55" s="4"/>
    </row>
    <row r="56" spans="1:27" s="5" customFormat="1" ht="72.5" x14ac:dyDescent="0.35">
      <c r="A56" s="4"/>
      <c r="B56" s="7" t="s">
        <v>579</v>
      </c>
      <c r="C56" s="4" t="s">
        <v>580</v>
      </c>
      <c r="D56" s="8" t="s">
        <v>581</v>
      </c>
      <c r="E56" s="8" t="s">
        <v>582</v>
      </c>
      <c r="F56" s="1" t="s">
        <v>583</v>
      </c>
      <c r="G56" s="4"/>
      <c r="H56" s="4"/>
      <c r="I56" s="4"/>
      <c r="J56" s="4" t="s">
        <v>601</v>
      </c>
      <c r="K56" s="1" t="s">
        <v>723</v>
      </c>
      <c r="L56" s="1"/>
      <c r="M56" s="4" t="s">
        <v>348</v>
      </c>
      <c r="N56" s="1"/>
      <c r="O56" s="4"/>
      <c r="P56" s="4"/>
      <c r="Q56" s="4"/>
      <c r="R56" s="4"/>
      <c r="S56" s="4"/>
      <c r="T56" s="4"/>
      <c r="U56" s="4"/>
      <c r="V56" s="4" t="s">
        <v>624</v>
      </c>
      <c r="W56" s="4"/>
      <c r="X56" s="4"/>
      <c r="Y56" s="4"/>
      <c r="Z56" s="4"/>
      <c r="AA56" s="4"/>
    </row>
    <row r="57" spans="1:27" s="5" customFormat="1" ht="72.5" x14ac:dyDescent="0.35">
      <c r="A57" s="4"/>
      <c r="B57" s="7" t="s">
        <v>579</v>
      </c>
      <c r="C57" s="4" t="s">
        <v>580</v>
      </c>
      <c r="D57" s="8" t="s">
        <v>581</v>
      </c>
      <c r="E57" s="8" t="s">
        <v>582</v>
      </c>
      <c r="F57" s="1" t="s">
        <v>583</v>
      </c>
      <c r="G57" s="4"/>
      <c r="H57" s="4"/>
      <c r="I57" s="4"/>
      <c r="J57" s="4" t="s">
        <v>595</v>
      </c>
      <c r="K57" s="1" t="s">
        <v>156</v>
      </c>
      <c r="L57" s="1"/>
      <c r="M57" s="4" t="s">
        <v>157</v>
      </c>
      <c r="N57" s="1"/>
      <c r="O57" s="4" t="s">
        <v>724</v>
      </c>
      <c r="P57" s="4"/>
      <c r="Q57" s="4"/>
      <c r="R57" s="4"/>
      <c r="S57" s="4"/>
      <c r="T57" s="4"/>
      <c r="U57" s="4"/>
      <c r="V57" s="4" t="s">
        <v>725</v>
      </c>
      <c r="W57" s="4"/>
      <c r="X57" s="4"/>
      <c r="Y57" s="4"/>
      <c r="Z57" s="4"/>
      <c r="AA57" s="4"/>
    </row>
    <row r="58" spans="1:27" s="5" customFormat="1" ht="72.5" x14ac:dyDescent="0.35">
      <c r="A58" s="4"/>
      <c r="B58" s="7" t="s">
        <v>579</v>
      </c>
      <c r="C58" s="4" t="s">
        <v>580</v>
      </c>
      <c r="D58" s="8" t="s">
        <v>581</v>
      </c>
      <c r="E58" s="8" t="s">
        <v>582</v>
      </c>
      <c r="F58" s="1" t="s">
        <v>583</v>
      </c>
      <c r="G58" s="4"/>
      <c r="H58" s="4"/>
      <c r="I58" s="4"/>
      <c r="J58" s="4" t="s">
        <v>601</v>
      </c>
      <c r="K58" s="1" t="s">
        <v>726</v>
      </c>
      <c r="L58" s="1"/>
      <c r="M58" s="4" t="s">
        <v>603</v>
      </c>
      <c r="N58" s="1"/>
      <c r="O58" s="4" t="s">
        <v>604</v>
      </c>
      <c r="P58" s="4"/>
      <c r="Q58" s="4"/>
      <c r="R58" s="4"/>
      <c r="S58" s="4"/>
      <c r="T58" s="4"/>
      <c r="U58" s="4"/>
      <c r="V58" s="4" t="s">
        <v>605</v>
      </c>
      <c r="W58" s="4"/>
      <c r="X58" s="4"/>
      <c r="Y58" s="4"/>
      <c r="Z58" s="4"/>
      <c r="AA58" s="4"/>
    </row>
    <row r="59" spans="1:27" s="5" customFormat="1" ht="72.5" x14ac:dyDescent="0.35">
      <c r="A59" s="4"/>
      <c r="B59" s="7" t="s">
        <v>579</v>
      </c>
      <c r="C59" s="4" t="s">
        <v>580</v>
      </c>
      <c r="D59" s="8" t="s">
        <v>581</v>
      </c>
      <c r="E59" s="8" t="s">
        <v>582</v>
      </c>
      <c r="F59" s="1" t="s">
        <v>583</v>
      </c>
      <c r="G59" s="4"/>
      <c r="H59" s="4"/>
      <c r="I59" s="4"/>
      <c r="J59" s="4" t="s">
        <v>595</v>
      </c>
      <c r="K59" s="1" t="s">
        <v>586</v>
      </c>
      <c r="L59" s="1"/>
      <c r="M59" s="4" t="s">
        <v>587</v>
      </c>
      <c r="N59" s="1"/>
      <c r="O59" s="4" t="s">
        <v>727</v>
      </c>
      <c r="P59" s="4"/>
      <c r="Q59" s="4"/>
      <c r="R59" s="4"/>
      <c r="S59" s="4"/>
      <c r="T59" s="4"/>
      <c r="U59" s="4"/>
      <c r="V59" s="4" t="s">
        <v>725</v>
      </c>
      <c r="W59" s="4"/>
      <c r="X59" s="4"/>
      <c r="Y59" s="4"/>
      <c r="Z59" s="4"/>
      <c r="AA59" s="4"/>
    </row>
    <row r="60" spans="1:27" s="5" customFormat="1" ht="409.5" x14ac:dyDescent="0.35">
      <c r="A60" s="4"/>
      <c r="B60" s="7" t="s">
        <v>579</v>
      </c>
      <c r="C60" s="4" t="s">
        <v>580</v>
      </c>
      <c r="D60" s="8" t="s">
        <v>581</v>
      </c>
      <c r="E60" s="8" t="s">
        <v>582</v>
      </c>
      <c r="F60" s="1" t="s">
        <v>583</v>
      </c>
      <c r="G60" s="4"/>
      <c r="H60" s="4"/>
      <c r="I60" s="4"/>
      <c r="J60" s="4"/>
      <c r="K60" s="1"/>
      <c r="L60" s="1" t="s">
        <v>728</v>
      </c>
      <c r="M60" s="4"/>
      <c r="N60" s="1"/>
      <c r="O60" s="4"/>
      <c r="P60" s="4"/>
      <c r="Q60" s="4"/>
      <c r="R60" s="4"/>
      <c r="S60" s="4"/>
      <c r="T60" s="4"/>
      <c r="U60" s="4"/>
      <c r="V60" s="4"/>
      <c r="W60" s="4"/>
      <c r="X60" s="4"/>
      <c r="Y60" s="4"/>
      <c r="Z60" s="4"/>
      <c r="AA60" s="4"/>
    </row>
    <row r="61" spans="1:27" s="5" customFormat="1" ht="72.5" x14ac:dyDescent="0.35">
      <c r="A61" s="4"/>
      <c r="B61" s="7" t="s">
        <v>579</v>
      </c>
      <c r="C61" s="4" t="s">
        <v>580</v>
      </c>
      <c r="D61" s="8" t="s">
        <v>581</v>
      </c>
      <c r="E61" s="8" t="s">
        <v>582</v>
      </c>
      <c r="F61" s="1" t="s">
        <v>583</v>
      </c>
      <c r="G61" s="4"/>
      <c r="H61" s="4"/>
      <c r="I61" s="4"/>
      <c r="J61" s="4" t="s">
        <v>601</v>
      </c>
      <c r="K61" s="1" t="s">
        <v>729</v>
      </c>
      <c r="L61" s="1"/>
      <c r="M61" s="4" t="s">
        <v>730</v>
      </c>
      <c r="N61" s="1"/>
      <c r="O61" s="4" t="s">
        <v>731</v>
      </c>
      <c r="P61" s="4"/>
      <c r="Q61" s="4"/>
      <c r="R61" s="4"/>
      <c r="S61" s="4"/>
      <c r="T61" s="4"/>
      <c r="U61" s="4"/>
      <c r="V61" s="4" t="s">
        <v>633</v>
      </c>
      <c r="W61" s="4"/>
      <c r="X61" s="4"/>
      <c r="Y61" s="4"/>
      <c r="Z61" s="4"/>
      <c r="AA61" s="4"/>
    </row>
    <row r="62" spans="1:27" s="5" customFormat="1" ht="72.5" x14ac:dyDescent="0.35">
      <c r="A62" s="4"/>
      <c r="B62" s="7" t="s">
        <v>579</v>
      </c>
      <c r="C62" s="4" t="s">
        <v>580</v>
      </c>
      <c r="D62" s="8" t="s">
        <v>581</v>
      </c>
      <c r="E62" s="8" t="s">
        <v>582</v>
      </c>
      <c r="F62" s="1" t="s">
        <v>583</v>
      </c>
      <c r="G62" s="4"/>
      <c r="H62" s="4"/>
      <c r="I62" s="4"/>
      <c r="J62" s="4" t="s">
        <v>732</v>
      </c>
      <c r="K62" s="1" t="s">
        <v>733</v>
      </c>
      <c r="L62" s="1"/>
      <c r="M62" s="4" t="s">
        <v>214</v>
      </c>
      <c r="N62" s="1"/>
      <c r="O62" s="4" t="s">
        <v>215</v>
      </c>
      <c r="P62" s="4"/>
      <c r="Q62" s="4"/>
      <c r="R62" s="4"/>
      <c r="S62" s="4"/>
      <c r="T62" s="4"/>
      <c r="U62" s="4"/>
      <c r="V62" s="4" t="s">
        <v>633</v>
      </c>
      <c r="W62" s="4"/>
      <c r="X62" s="4"/>
      <c r="Y62" s="4"/>
      <c r="Z62" s="4"/>
      <c r="AA62" s="4"/>
    </row>
    <row r="63" spans="1:27" s="5" customFormat="1" ht="72.5" x14ac:dyDescent="0.35">
      <c r="A63" s="4"/>
      <c r="B63" s="7" t="s">
        <v>579</v>
      </c>
      <c r="C63" s="4" t="s">
        <v>580</v>
      </c>
      <c r="D63" s="8" t="s">
        <v>581</v>
      </c>
      <c r="E63" s="8" t="s">
        <v>582</v>
      </c>
      <c r="F63" s="1" t="s">
        <v>583</v>
      </c>
      <c r="G63" s="4"/>
      <c r="H63" s="4"/>
      <c r="I63" s="4"/>
      <c r="J63" s="4" t="s">
        <v>734</v>
      </c>
      <c r="K63" s="1" t="s">
        <v>735</v>
      </c>
      <c r="L63" s="1"/>
      <c r="M63" s="4" t="s">
        <v>736</v>
      </c>
      <c r="N63" s="1"/>
      <c r="O63" s="4" t="s">
        <v>737</v>
      </c>
      <c r="P63" s="4"/>
      <c r="Q63" s="4"/>
      <c r="R63" s="4"/>
      <c r="S63" s="4"/>
      <c r="T63" s="4"/>
      <c r="U63" s="4"/>
      <c r="V63" s="4" t="s">
        <v>624</v>
      </c>
      <c r="W63" s="4"/>
      <c r="X63" s="4"/>
      <c r="Y63" s="4"/>
      <c r="Z63" s="4"/>
      <c r="AA63" s="4"/>
    </row>
    <row r="64" spans="1:27" s="5" customFormat="1" ht="145" x14ac:dyDescent="0.35">
      <c r="A64" s="4"/>
      <c r="B64" s="7" t="s">
        <v>579</v>
      </c>
      <c r="C64" s="4" t="s">
        <v>580</v>
      </c>
      <c r="D64" s="8" t="s">
        <v>581</v>
      </c>
      <c r="E64" s="8" t="s">
        <v>582</v>
      </c>
      <c r="F64" s="1" t="s">
        <v>583</v>
      </c>
      <c r="G64" s="4"/>
      <c r="H64" s="4"/>
      <c r="I64" s="4"/>
      <c r="J64" s="4" t="s">
        <v>601</v>
      </c>
      <c r="K64" s="1" t="s">
        <v>738</v>
      </c>
      <c r="L64" s="1"/>
      <c r="M64" s="4" t="s">
        <v>739</v>
      </c>
      <c r="N64" s="1"/>
      <c r="O64" s="4" t="s">
        <v>740</v>
      </c>
      <c r="P64" s="4"/>
      <c r="Q64" s="4"/>
      <c r="R64" s="4"/>
      <c r="S64" s="4"/>
      <c r="T64" s="4"/>
      <c r="U64" s="4"/>
      <c r="V64" s="4" t="s">
        <v>656</v>
      </c>
      <c r="W64" s="4"/>
      <c r="X64" s="4"/>
      <c r="Y64" s="4"/>
      <c r="Z64" s="4"/>
      <c r="AA64" s="4"/>
    </row>
    <row r="65" spans="1:27" s="5" customFormat="1" ht="72.5" x14ac:dyDescent="0.35">
      <c r="A65" s="4"/>
      <c r="B65" s="7" t="s">
        <v>579</v>
      </c>
      <c r="C65" s="4" t="s">
        <v>580</v>
      </c>
      <c r="D65" s="8" t="s">
        <v>581</v>
      </c>
      <c r="E65" s="8" t="s">
        <v>582</v>
      </c>
      <c r="F65" s="1" t="s">
        <v>583</v>
      </c>
      <c r="G65" s="4"/>
      <c r="H65" s="4"/>
      <c r="I65" s="4"/>
      <c r="J65" s="4" t="s">
        <v>732</v>
      </c>
      <c r="K65" s="1" t="s">
        <v>741</v>
      </c>
      <c r="L65" s="1"/>
      <c r="M65" s="4" t="s">
        <v>218</v>
      </c>
      <c r="N65" s="1"/>
      <c r="O65" s="4" t="s">
        <v>219</v>
      </c>
      <c r="P65" s="4"/>
      <c r="Q65" s="4"/>
      <c r="R65" s="4"/>
      <c r="S65" s="4"/>
      <c r="T65" s="4"/>
      <c r="U65" s="4"/>
      <c r="V65" s="4" t="s">
        <v>616</v>
      </c>
      <c r="W65" s="4"/>
      <c r="X65" s="4"/>
      <c r="Y65" s="4"/>
      <c r="Z65" s="4"/>
      <c r="AA65" s="4"/>
    </row>
    <row r="66" spans="1:27" s="5" customFormat="1" ht="116" x14ac:dyDescent="0.35">
      <c r="A66" s="4"/>
      <c r="B66" s="7" t="s">
        <v>579</v>
      </c>
      <c r="C66" s="4" t="s">
        <v>580</v>
      </c>
      <c r="D66" s="8" t="s">
        <v>581</v>
      </c>
      <c r="E66" s="8" t="s">
        <v>582</v>
      </c>
      <c r="F66" s="1" t="s">
        <v>583</v>
      </c>
      <c r="G66" s="4"/>
      <c r="H66" s="4"/>
      <c r="I66" s="4"/>
      <c r="J66" s="4" t="s">
        <v>742</v>
      </c>
      <c r="K66" s="1" t="s">
        <v>238</v>
      </c>
      <c r="L66" s="1"/>
      <c r="M66" s="4" t="s">
        <v>239</v>
      </c>
      <c r="N66" s="1"/>
      <c r="O66" s="4" t="s">
        <v>240</v>
      </c>
      <c r="P66" s="4"/>
      <c r="Q66" s="4"/>
      <c r="R66" s="4"/>
      <c r="S66" s="4"/>
      <c r="T66" s="4"/>
      <c r="U66" s="4"/>
      <c r="V66" s="4" t="s">
        <v>743</v>
      </c>
      <c r="W66" s="4"/>
      <c r="X66" s="4"/>
      <c r="Y66" s="4"/>
      <c r="Z66" s="4"/>
      <c r="AA66" s="4"/>
    </row>
    <row r="67" spans="1:27" s="5" customFormat="1" ht="116" x14ac:dyDescent="0.35">
      <c r="A67" s="4"/>
      <c r="B67" s="7" t="s">
        <v>579</v>
      </c>
      <c r="C67" s="4" t="s">
        <v>580</v>
      </c>
      <c r="D67" s="8" t="s">
        <v>581</v>
      </c>
      <c r="E67" s="8" t="s">
        <v>582</v>
      </c>
      <c r="F67" s="1" t="s">
        <v>583</v>
      </c>
      <c r="G67" s="4"/>
      <c r="H67" s="4"/>
      <c r="I67" s="4"/>
      <c r="J67" s="4" t="s">
        <v>742</v>
      </c>
      <c r="K67" s="1" t="s">
        <v>242</v>
      </c>
      <c r="L67" s="1"/>
      <c r="M67" s="4" t="s">
        <v>239</v>
      </c>
      <c r="N67" s="1"/>
      <c r="O67" s="4" t="s">
        <v>243</v>
      </c>
      <c r="P67" s="4"/>
      <c r="Q67" s="4"/>
      <c r="R67" s="4"/>
      <c r="S67" s="4"/>
      <c r="T67" s="4"/>
      <c r="U67" s="4"/>
      <c r="V67" s="4" t="s">
        <v>744</v>
      </c>
      <c r="W67" s="4"/>
      <c r="X67" s="4"/>
      <c r="Y67" s="4"/>
      <c r="Z67" s="4"/>
      <c r="AA67" s="4"/>
    </row>
    <row r="68" spans="1:27" s="5" customFormat="1" ht="409.5" x14ac:dyDescent="0.35">
      <c r="A68" s="4"/>
      <c r="B68" s="7" t="s">
        <v>579</v>
      </c>
      <c r="C68" s="4" t="s">
        <v>580</v>
      </c>
      <c r="D68" s="8" t="s">
        <v>581</v>
      </c>
      <c r="E68" s="8" t="s">
        <v>582</v>
      </c>
      <c r="F68" s="1" t="s">
        <v>583</v>
      </c>
      <c r="G68" s="4"/>
      <c r="H68" s="4"/>
      <c r="I68" s="4"/>
      <c r="J68" s="4"/>
      <c r="K68" s="1"/>
      <c r="L68" s="1" t="s">
        <v>745</v>
      </c>
      <c r="M68" s="4"/>
      <c r="N68" s="1"/>
      <c r="O68" s="4"/>
      <c r="P68" s="4"/>
      <c r="Q68" s="4"/>
      <c r="R68" s="4"/>
      <c r="S68" s="4"/>
      <c r="T68" s="4"/>
      <c r="U68" s="4"/>
      <c r="V68" s="4"/>
      <c r="W68" s="4"/>
      <c r="X68" s="4"/>
      <c r="Y68" s="4"/>
      <c r="Z68" s="4"/>
      <c r="AA68" s="4"/>
    </row>
    <row r="69" spans="1:27" s="5" customFormat="1" ht="406" x14ac:dyDescent="0.35">
      <c r="A69" s="4"/>
      <c r="B69" s="7" t="s">
        <v>579</v>
      </c>
      <c r="C69" s="4" t="s">
        <v>580</v>
      </c>
      <c r="D69" s="8" t="s">
        <v>581</v>
      </c>
      <c r="E69" s="8" t="s">
        <v>582</v>
      </c>
      <c r="F69" s="1" t="s">
        <v>583</v>
      </c>
      <c r="G69" s="4"/>
      <c r="H69" s="4"/>
      <c r="I69" s="4"/>
      <c r="J69" s="4" t="s">
        <v>601</v>
      </c>
      <c r="K69" s="1" t="s">
        <v>746</v>
      </c>
      <c r="L69" s="1"/>
      <c r="M69" s="4" t="s">
        <v>747</v>
      </c>
      <c r="N69" s="1"/>
      <c r="O69" s="4" t="s">
        <v>748</v>
      </c>
      <c r="P69" s="4"/>
      <c r="Q69" s="4"/>
      <c r="R69" s="4"/>
      <c r="S69" s="4"/>
      <c r="T69" s="4"/>
      <c r="U69" s="4"/>
      <c r="V69" s="4" t="s">
        <v>633</v>
      </c>
      <c r="W69" s="4"/>
      <c r="X69" s="4"/>
      <c r="Y69" s="4"/>
      <c r="Z69" s="4"/>
      <c r="AA69" s="4"/>
    </row>
    <row r="70" spans="1:27" s="5" customFormat="1" ht="87" x14ac:dyDescent="0.35">
      <c r="A70" s="4"/>
      <c r="B70" s="7" t="s">
        <v>579</v>
      </c>
      <c r="C70" s="4" t="s">
        <v>580</v>
      </c>
      <c r="D70" s="8" t="s">
        <v>581</v>
      </c>
      <c r="E70" s="8" t="s">
        <v>582</v>
      </c>
      <c r="F70" s="1" t="s">
        <v>583</v>
      </c>
      <c r="G70" s="4"/>
      <c r="H70" s="4"/>
      <c r="I70" s="4"/>
      <c r="J70" s="4" t="s">
        <v>749</v>
      </c>
      <c r="K70" s="1" t="s">
        <v>750</v>
      </c>
      <c r="L70" s="1"/>
      <c r="M70" s="4" t="s">
        <v>224</v>
      </c>
      <c r="N70" s="1"/>
      <c r="O70" s="4" t="s">
        <v>751</v>
      </c>
      <c r="P70" s="4"/>
      <c r="Q70" s="4"/>
      <c r="R70" s="4"/>
      <c r="S70" s="4"/>
      <c r="T70" s="4"/>
      <c r="U70" s="4"/>
      <c r="V70" s="4" t="s">
        <v>624</v>
      </c>
      <c r="W70" s="4"/>
      <c r="X70" s="4"/>
      <c r="Y70" s="4"/>
      <c r="Z70" s="4"/>
      <c r="AA70" s="4"/>
    </row>
    <row r="71" spans="1:27" s="5" customFormat="1" ht="130.5" x14ac:dyDescent="0.35">
      <c r="A71" s="4"/>
      <c r="B71" s="7" t="s">
        <v>579</v>
      </c>
      <c r="C71" s="4" t="s">
        <v>580</v>
      </c>
      <c r="D71" s="8" t="s">
        <v>581</v>
      </c>
      <c r="E71" s="8" t="s">
        <v>582</v>
      </c>
      <c r="F71" s="1" t="s">
        <v>583</v>
      </c>
      <c r="G71" s="4"/>
      <c r="H71" s="4"/>
      <c r="I71" s="4"/>
      <c r="J71" s="4" t="s">
        <v>601</v>
      </c>
      <c r="K71" s="1" t="s">
        <v>752</v>
      </c>
      <c r="L71" s="1"/>
      <c r="M71" s="4" t="s">
        <v>753</v>
      </c>
      <c r="N71" s="1"/>
      <c r="O71" s="4" t="s">
        <v>754</v>
      </c>
      <c r="P71" s="4"/>
      <c r="Q71" s="4"/>
      <c r="R71" s="4"/>
      <c r="S71" s="4"/>
      <c r="T71" s="4"/>
      <c r="U71" s="4"/>
      <c r="V71" s="4" t="s">
        <v>624</v>
      </c>
      <c r="W71" s="4"/>
      <c r="X71" s="4"/>
      <c r="Y71" s="4"/>
      <c r="Z71" s="4"/>
      <c r="AA71" s="4"/>
    </row>
    <row r="72" spans="1:27" s="5" customFormat="1" ht="72.5" x14ac:dyDescent="0.35">
      <c r="A72" s="4"/>
      <c r="B72" s="7" t="s">
        <v>579</v>
      </c>
      <c r="C72" s="4" t="s">
        <v>580</v>
      </c>
      <c r="D72" s="8" t="s">
        <v>581</v>
      </c>
      <c r="E72" s="8" t="s">
        <v>582</v>
      </c>
      <c r="F72" s="1" t="s">
        <v>583</v>
      </c>
      <c r="G72" s="4"/>
      <c r="H72" s="4"/>
      <c r="I72" s="4"/>
      <c r="J72" s="4" t="s">
        <v>601</v>
      </c>
      <c r="K72" s="1" t="s">
        <v>227</v>
      </c>
      <c r="L72" s="1"/>
      <c r="M72" s="4" t="s">
        <v>228</v>
      </c>
      <c r="N72" s="1"/>
      <c r="O72" s="4" t="s">
        <v>755</v>
      </c>
      <c r="P72" s="4"/>
      <c r="Q72" s="4"/>
      <c r="R72" s="4"/>
      <c r="S72" s="4"/>
      <c r="T72" s="4"/>
      <c r="U72" s="4"/>
      <c r="V72" s="4" t="s">
        <v>624</v>
      </c>
      <c r="W72" s="4"/>
      <c r="X72" s="4"/>
      <c r="Y72" s="4"/>
      <c r="Z72" s="4"/>
      <c r="AA72" s="4"/>
    </row>
    <row r="73" spans="1:27" s="5" customFormat="1" ht="72.5" x14ac:dyDescent="0.35">
      <c r="A73" s="4"/>
      <c r="B73" s="7" t="s">
        <v>579</v>
      </c>
      <c r="C73" s="4" t="s">
        <v>580</v>
      </c>
      <c r="D73" s="8" t="s">
        <v>581</v>
      </c>
      <c r="E73" s="8" t="s">
        <v>582</v>
      </c>
      <c r="F73" s="1" t="s">
        <v>583</v>
      </c>
      <c r="G73" s="4"/>
      <c r="H73" s="4"/>
      <c r="I73" s="4"/>
      <c r="J73" s="4" t="s">
        <v>591</v>
      </c>
      <c r="K73" s="1" t="s">
        <v>756</v>
      </c>
      <c r="L73" s="1"/>
      <c r="M73" s="4" t="s">
        <v>288</v>
      </c>
      <c r="N73" s="1"/>
      <c r="O73" s="4" t="s">
        <v>757</v>
      </c>
      <c r="P73" s="4"/>
      <c r="Q73" s="4"/>
      <c r="R73" s="4"/>
      <c r="S73" s="4"/>
      <c r="T73" s="4"/>
      <c r="U73" s="4"/>
      <c r="V73" s="4" t="s">
        <v>624</v>
      </c>
      <c r="W73" s="4"/>
      <c r="X73" s="4"/>
      <c r="Y73" s="4"/>
      <c r="Z73" s="4"/>
      <c r="AA73" s="4"/>
    </row>
    <row r="74" spans="1:27" s="5" customFormat="1" ht="72.5" x14ac:dyDescent="0.35">
      <c r="A74" s="4"/>
      <c r="B74" s="7" t="s">
        <v>579</v>
      </c>
      <c r="C74" s="4" t="s">
        <v>580</v>
      </c>
      <c r="D74" s="8" t="s">
        <v>581</v>
      </c>
      <c r="E74" s="8" t="s">
        <v>582</v>
      </c>
      <c r="F74" s="1" t="s">
        <v>583</v>
      </c>
      <c r="G74" s="4"/>
      <c r="H74" s="4"/>
      <c r="I74" s="4"/>
      <c r="J74" s="4" t="s">
        <v>601</v>
      </c>
      <c r="K74" s="1" t="s">
        <v>758</v>
      </c>
      <c r="L74" s="1"/>
      <c r="M74" s="4" t="s">
        <v>124</v>
      </c>
      <c r="N74" s="1"/>
      <c r="O74" s="4" t="s">
        <v>759</v>
      </c>
      <c r="P74" s="4"/>
      <c r="Q74" s="4"/>
      <c r="R74" s="4"/>
      <c r="S74" s="4"/>
      <c r="T74" s="4"/>
      <c r="U74" s="4"/>
      <c r="V74" s="4" t="s">
        <v>633</v>
      </c>
      <c r="W74" s="4"/>
      <c r="X74" s="4"/>
      <c r="Y74" s="4"/>
      <c r="Z74" s="4"/>
      <c r="AA74" s="4"/>
    </row>
    <row r="75" spans="1:27" s="5" customFormat="1" ht="72.5" x14ac:dyDescent="0.35">
      <c r="A75" s="4"/>
      <c r="B75" s="7" t="s">
        <v>579</v>
      </c>
      <c r="C75" s="4" t="s">
        <v>580</v>
      </c>
      <c r="D75" s="8" t="s">
        <v>581</v>
      </c>
      <c r="E75" s="8" t="s">
        <v>582</v>
      </c>
      <c r="F75" s="1" t="s">
        <v>583</v>
      </c>
      <c r="G75" s="4"/>
      <c r="H75" s="4"/>
      <c r="I75" s="4"/>
      <c r="J75" s="4" t="s">
        <v>749</v>
      </c>
      <c r="K75" s="1" t="s">
        <v>760</v>
      </c>
      <c r="L75" s="1"/>
      <c r="M75" s="4" t="s">
        <v>309</v>
      </c>
      <c r="N75" s="1"/>
      <c r="O75" s="4" t="s">
        <v>761</v>
      </c>
      <c r="P75" s="4"/>
      <c r="Q75" s="4"/>
      <c r="R75" s="4"/>
      <c r="S75" s="4"/>
      <c r="T75" s="4"/>
      <c r="U75" s="4"/>
      <c r="V75" s="4" t="s">
        <v>624</v>
      </c>
      <c r="W75" s="4"/>
      <c r="X75" s="4"/>
      <c r="Y75" s="4"/>
      <c r="Z75" s="4"/>
      <c r="AA75" s="4"/>
    </row>
    <row r="76" spans="1:27" s="5" customFormat="1" ht="72.5" x14ac:dyDescent="0.35">
      <c r="A76" s="4"/>
      <c r="B76" s="7" t="s">
        <v>579</v>
      </c>
      <c r="C76" s="4" t="s">
        <v>580</v>
      </c>
      <c r="D76" s="8" t="s">
        <v>581</v>
      </c>
      <c r="E76" s="8" t="s">
        <v>582</v>
      </c>
      <c r="F76" s="1" t="s">
        <v>583</v>
      </c>
      <c r="G76" s="4"/>
      <c r="H76" s="4"/>
      <c r="I76" s="4"/>
      <c r="J76" s="4" t="s">
        <v>595</v>
      </c>
      <c r="K76" s="1" t="s">
        <v>762</v>
      </c>
      <c r="L76" s="1"/>
      <c r="M76" s="4" t="s">
        <v>299</v>
      </c>
      <c r="N76" s="1"/>
      <c r="O76" s="4" t="s">
        <v>763</v>
      </c>
      <c r="P76" s="4"/>
      <c r="Q76" s="4"/>
      <c r="R76" s="4"/>
      <c r="S76" s="4"/>
      <c r="T76" s="4"/>
      <c r="U76" s="4"/>
      <c r="V76" s="4" t="s">
        <v>624</v>
      </c>
      <c r="W76" s="4"/>
      <c r="X76" s="4"/>
      <c r="Y76" s="4"/>
      <c r="Z76" s="4"/>
      <c r="AA76" s="4"/>
    </row>
    <row r="77" spans="1:27" s="5" customFormat="1" ht="101.5" x14ac:dyDescent="0.35">
      <c r="A77" s="4"/>
      <c r="B77" s="7" t="s">
        <v>579</v>
      </c>
      <c r="C77" s="4" t="s">
        <v>580</v>
      </c>
      <c r="D77" s="8" t="s">
        <v>581</v>
      </c>
      <c r="E77" s="8" t="s">
        <v>582</v>
      </c>
      <c r="F77" s="1" t="s">
        <v>583</v>
      </c>
      <c r="G77" s="4"/>
      <c r="H77" s="4"/>
      <c r="I77" s="4"/>
      <c r="J77" s="4" t="s">
        <v>601</v>
      </c>
      <c r="K77" s="1" t="s">
        <v>764</v>
      </c>
      <c r="L77" s="1"/>
      <c r="M77" s="4" t="s">
        <v>765</v>
      </c>
      <c r="N77" s="1"/>
      <c r="O77" s="4" t="s">
        <v>766</v>
      </c>
      <c r="P77" s="4"/>
      <c r="Q77" s="4"/>
      <c r="R77" s="4"/>
      <c r="S77" s="4"/>
      <c r="T77" s="4"/>
      <c r="U77" s="4"/>
      <c r="V77" s="4" t="s">
        <v>624</v>
      </c>
      <c r="W77" s="4"/>
      <c r="X77" s="4"/>
      <c r="Y77" s="4"/>
      <c r="Z77" s="4"/>
      <c r="AA77" s="4"/>
    </row>
    <row r="78" spans="1:27" s="5" customFormat="1" ht="188.5" x14ac:dyDescent="0.35">
      <c r="A78" s="4"/>
      <c r="B78" s="7" t="s">
        <v>579</v>
      </c>
      <c r="C78" s="4" t="s">
        <v>580</v>
      </c>
      <c r="D78" s="8" t="s">
        <v>581</v>
      </c>
      <c r="E78" s="8" t="s">
        <v>582</v>
      </c>
      <c r="F78" s="1" t="s">
        <v>583</v>
      </c>
      <c r="G78" s="4"/>
      <c r="H78" s="4"/>
      <c r="I78" s="4"/>
      <c r="J78" s="4" t="s">
        <v>749</v>
      </c>
      <c r="K78" s="1" t="s">
        <v>767</v>
      </c>
      <c r="L78" s="1" t="s">
        <v>768</v>
      </c>
      <c r="M78" s="4" t="s">
        <v>233</v>
      </c>
      <c r="N78" s="1"/>
      <c r="O78" s="4" t="s">
        <v>769</v>
      </c>
      <c r="P78" s="4"/>
      <c r="Q78" s="4"/>
      <c r="R78" s="4"/>
      <c r="S78" s="4"/>
      <c r="T78" s="4"/>
      <c r="U78" s="4"/>
      <c r="V78" s="4" t="s">
        <v>624</v>
      </c>
      <c r="W78" s="4"/>
      <c r="X78" s="4"/>
      <c r="Y78" s="4"/>
      <c r="Z78" s="4"/>
      <c r="AA78" s="4"/>
    </row>
    <row r="79" spans="1:27" s="5" customFormat="1" ht="72.5" x14ac:dyDescent="0.35">
      <c r="A79" s="4"/>
      <c r="B79" s="7" t="s">
        <v>579</v>
      </c>
      <c r="C79" s="4" t="s">
        <v>580</v>
      </c>
      <c r="D79" s="8" t="s">
        <v>581</v>
      </c>
      <c r="E79" s="8" t="s">
        <v>582</v>
      </c>
      <c r="F79" s="1" t="s">
        <v>583</v>
      </c>
      <c r="G79" s="4"/>
      <c r="H79" s="4"/>
      <c r="I79" s="4"/>
      <c r="J79" s="4" t="s">
        <v>601</v>
      </c>
      <c r="K79" s="1" t="s">
        <v>770</v>
      </c>
      <c r="L79" s="1"/>
      <c r="M79" s="4" t="s">
        <v>292</v>
      </c>
      <c r="N79" s="1"/>
      <c r="O79" s="4" t="s">
        <v>771</v>
      </c>
      <c r="P79" s="4"/>
      <c r="Q79" s="4"/>
      <c r="R79" s="4"/>
      <c r="S79" s="4"/>
      <c r="T79" s="4"/>
      <c r="U79" s="4"/>
      <c r="V79" s="4" t="s">
        <v>624</v>
      </c>
      <c r="W79" s="4"/>
      <c r="X79" s="4"/>
      <c r="Y79" s="4"/>
      <c r="Z79" s="4"/>
      <c r="AA79" s="4"/>
    </row>
    <row r="80" spans="1:27" s="5" customFormat="1" ht="101.5" x14ac:dyDescent="0.35">
      <c r="A80" s="4"/>
      <c r="B80" s="7" t="s">
        <v>579</v>
      </c>
      <c r="C80" s="4" t="s">
        <v>580</v>
      </c>
      <c r="D80" s="8" t="s">
        <v>581</v>
      </c>
      <c r="E80" s="8" t="s">
        <v>582</v>
      </c>
      <c r="F80" s="1" t="s">
        <v>583</v>
      </c>
      <c r="G80" s="4"/>
      <c r="H80" s="4"/>
      <c r="I80" s="4"/>
      <c r="J80" s="4" t="s">
        <v>601</v>
      </c>
      <c r="K80" s="1" t="s">
        <v>772</v>
      </c>
      <c r="L80" s="1"/>
      <c r="M80" s="4" t="s">
        <v>301</v>
      </c>
      <c r="N80" s="1"/>
      <c r="O80" s="4" t="s">
        <v>773</v>
      </c>
      <c r="P80" s="4"/>
      <c r="Q80" s="4"/>
      <c r="R80" s="4"/>
      <c r="S80" s="4"/>
      <c r="T80" s="4"/>
      <c r="U80" s="4"/>
      <c r="V80" s="4" t="s">
        <v>624</v>
      </c>
      <c r="W80" s="4"/>
      <c r="X80" s="4"/>
      <c r="Y80" s="4"/>
      <c r="Z80" s="4"/>
      <c r="AA80" s="4"/>
    </row>
    <row r="81" spans="1:27" s="5" customFormat="1" ht="87" x14ac:dyDescent="0.35">
      <c r="A81" s="4"/>
      <c r="B81" s="7" t="s">
        <v>579</v>
      </c>
      <c r="C81" s="4" t="s">
        <v>580</v>
      </c>
      <c r="D81" s="8" t="s">
        <v>581</v>
      </c>
      <c r="E81" s="8" t="s">
        <v>582</v>
      </c>
      <c r="F81" s="1" t="s">
        <v>583</v>
      </c>
      <c r="G81" s="4"/>
      <c r="H81" s="4"/>
      <c r="I81" s="4"/>
      <c r="J81" s="4" t="s">
        <v>591</v>
      </c>
      <c r="K81" s="1" t="s">
        <v>774</v>
      </c>
      <c r="L81" s="1"/>
      <c r="M81" s="4" t="s">
        <v>295</v>
      </c>
      <c r="N81" s="1"/>
      <c r="O81" s="4" t="s">
        <v>775</v>
      </c>
      <c r="P81" s="4"/>
      <c r="Q81" s="4"/>
      <c r="R81" s="4"/>
      <c r="S81" s="4"/>
      <c r="T81" s="4"/>
      <c r="U81" s="4"/>
      <c r="V81" s="4" t="s">
        <v>624</v>
      </c>
      <c r="W81" s="4"/>
      <c r="X81" s="4"/>
      <c r="Y81" s="4"/>
      <c r="Z81" s="4"/>
      <c r="AA81" s="4"/>
    </row>
    <row r="82" spans="1:27" s="5" customFormat="1" ht="159.5" x14ac:dyDescent="0.35">
      <c r="A82" s="4"/>
      <c r="B82" s="7" t="s">
        <v>579</v>
      </c>
      <c r="C82" s="4" t="s">
        <v>580</v>
      </c>
      <c r="D82" s="8" t="s">
        <v>581</v>
      </c>
      <c r="E82" s="8" t="s">
        <v>582</v>
      </c>
      <c r="F82" s="1" t="s">
        <v>583</v>
      </c>
      <c r="G82" s="4"/>
      <c r="H82" s="4"/>
      <c r="I82" s="4"/>
      <c r="J82" s="4" t="s">
        <v>591</v>
      </c>
      <c r="K82" s="1" t="s">
        <v>776</v>
      </c>
      <c r="L82" s="1"/>
      <c r="M82" s="4" t="s">
        <v>247</v>
      </c>
      <c r="N82" s="1"/>
      <c r="O82" s="4" t="s">
        <v>777</v>
      </c>
      <c r="P82" s="4"/>
      <c r="Q82" s="4"/>
      <c r="R82" s="4"/>
      <c r="S82" s="4"/>
      <c r="T82" s="4"/>
      <c r="U82" s="4"/>
      <c r="V82" s="4" t="s">
        <v>624</v>
      </c>
      <c r="W82" s="4"/>
      <c r="X82" s="4"/>
      <c r="Y82" s="4"/>
      <c r="Z82" s="4"/>
      <c r="AA82" s="4"/>
    </row>
    <row r="83" spans="1:27" s="5" customFormat="1" ht="72.5" x14ac:dyDescent="0.35">
      <c r="A83" s="4"/>
      <c r="B83" s="7" t="s">
        <v>579</v>
      </c>
      <c r="C83" s="4" t="s">
        <v>580</v>
      </c>
      <c r="D83" s="8" t="s">
        <v>581</v>
      </c>
      <c r="E83" s="8" t="s">
        <v>582</v>
      </c>
      <c r="F83" s="1" t="s">
        <v>583</v>
      </c>
      <c r="G83" s="4"/>
      <c r="H83" s="4"/>
      <c r="I83" s="4"/>
      <c r="J83" s="4" t="s">
        <v>601</v>
      </c>
      <c r="K83" s="4" t="s">
        <v>778</v>
      </c>
      <c r="L83" s="1"/>
      <c r="M83" s="4" t="s">
        <v>779</v>
      </c>
      <c r="N83" s="1"/>
      <c r="O83" s="4" t="s">
        <v>780</v>
      </c>
      <c r="P83" s="4"/>
      <c r="Q83" s="4"/>
      <c r="R83" s="4"/>
      <c r="S83" s="4"/>
      <c r="T83" s="4"/>
      <c r="U83" s="4"/>
      <c r="V83" s="4" t="s">
        <v>624</v>
      </c>
      <c r="W83" s="4"/>
      <c r="X83" s="4"/>
      <c r="Y83" s="4"/>
      <c r="Z83" s="4"/>
      <c r="AA83" s="4"/>
    </row>
    <row r="84" spans="1:27" s="5" customFormat="1" ht="87" x14ac:dyDescent="0.35">
      <c r="A84" s="4"/>
      <c r="B84" s="7" t="s">
        <v>579</v>
      </c>
      <c r="C84" s="4" t="s">
        <v>580</v>
      </c>
      <c r="D84" s="8" t="s">
        <v>581</v>
      </c>
      <c r="E84" s="8" t="s">
        <v>582</v>
      </c>
      <c r="F84" s="1" t="s">
        <v>583</v>
      </c>
      <c r="G84" s="4"/>
      <c r="H84" s="4"/>
      <c r="I84" s="4"/>
      <c r="J84" s="4" t="s">
        <v>781</v>
      </c>
      <c r="K84" s="1" t="s">
        <v>782</v>
      </c>
      <c r="L84" s="1"/>
      <c r="M84" s="4" t="s">
        <v>309</v>
      </c>
      <c r="N84" s="1"/>
      <c r="O84" s="4" t="s">
        <v>783</v>
      </c>
      <c r="P84" s="4"/>
      <c r="Q84" s="4"/>
      <c r="R84" s="4"/>
      <c r="S84" s="4"/>
      <c r="T84" s="4"/>
      <c r="U84" s="4"/>
      <c r="V84" s="4" t="s">
        <v>624</v>
      </c>
      <c r="W84" s="4"/>
      <c r="X84" s="4"/>
      <c r="Y84" s="4"/>
      <c r="Z84" s="4"/>
      <c r="AA84" s="4"/>
    </row>
    <row r="85" spans="1:27" s="5" customFormat="1" ht="101.5" x14ac:dyDescent="0.35">
      <c r="A85" s="4"/>
      <c r="B85" s="7" t="s">
        <v>579</v>
      </c>
      <c r="C85" s="4" t="s">
        <v>580</v>
      </c>
      <c r="D85" s="8" t="s">
        <v>581</v>
      </c>
      <c r="E85" s="8" t="s">
        <v>582</v>
      </c>
      <c r="F85" s="1" t="s">
        <v>583</v>
      </c>
      <c r="G85" s="4"/>
      <c r="H85" s="4"/>
      <c r="I85" s="4"/>
      <c r="J85" s="4" t="s">
        <v>312</v>
      </c>
      <c r="K85" s="1" t="s">
        <v>784</v>
      </c>
      <c r="L85" s="1"/>
      <c r="M85" s="4" t="s">
        <v>314</v>
      </c>
      <c r="N85" s="1"/>
      <c r="O85" s="4" t="s">
        <v>785</v>
      </c>
      <c r="P85" s="4"/>
      <c r="Q85" s="4"/>
      <c r="R85" s="4"/>
      <c r="S85" s="4"/>
      <c r="T85" s="4"/>
      <c r="U85" s="4"/>
      <c r="V85" s="4"/>
      <c r="W85" s="4"/>
      <c r="X85" s="4"/>
      <c r="Y85" s="4"/>
      <c r="Z85" s="4"/>
      <c r="AA85" s="4"/>
    </row>
    <row r="86" spans="1:27" s="5" customFormat="1" ht="261" x14ac:dyDescent="0.35">
      <c r="A86" s="4"/>
      <c r="B86" s="7" t="s">
        <v>579</v>
      </c>
      <c r="C86" s="4" t="s">
        <v>580</v>
      </c>
      <c r="D86" s="8" t="s">
        <v>581</v>
      </c>
      <c r="E86" s="8" t="s">
        <v>582</v>
      </c>
      <c r="F86" s="1" t="s">
        <v>583</v>
      </c>
      <c r="G86" s="4"/>
      <c r="H86" s="4"/>
      <c r="I86" s="4"/>
      <c r="J86" s="4" t="s">
        <v>312</v>
      </c>
      <c r="K86" s="1" t="s">
        <v>786</v>
      </c>
      <c r="L86" s="1"/>
      <c r="M86" s="4" t="s">
        <v>318</v>
      </c>
      <c r="N86" s="1"/>
      <c r="O86" s="4" t="s">
        <v>787</v>
      </c>
      <c r="P86" s="4"/>
      <c r="Q86" s="4"/>
      <c r="R86" s="4"/>
      <c r="S86" s="4"/>
      <c r="T86" s="4"/>
      <c r="U86" s="4"/>
      <c r="V86" s="4" t="s">
        <v>788</v>
      </c>
      <c r="W86" s="4"/>
      <c r="X86" s="4"/>
      <c r="Y86" s="4"/>
      <c r="Z86" s="4"/>
      <c r="AA86" s="4"/>
    </row>
    <row r="87" spans="1:27" s="5" customFormat="1" ht="72.5" x14ac:dyDescent="0.35">
      <c r="A87" s="4"/>
      <c r="B87" s="7" t="s">
        <v>579</v>
      </c>
      <c r="C87" s="4" t="s">
        <v>580</v>
      </c>
      <c r="D87" s="8" t="s">
        <v>581</v>
      </c>
      <c r="E87" s="8" t="s">
        <v>582</v>
      </c>
      <c r="F87" s="1" t="s">
        <v>583</v>
      </c>
      <c r="G87" s="4"/>
      <c r="H87" s="4"/>
      <c r="I87" s="4"/>
      <c r="J87" s="4" t="s">
        <v>601</v>
      </c>
      <c r="K87" s="1" t="s">
        <v>789</v>
      </c>
      <c r="L87" s="1"/>
      <c r="M87" s="4" t="s">
        <v>324</v>
      </c>
      <c r="N87" s="1"/>
      <c r="O87" s="4" t="s">
        <v>790</v>
      </c>
      <c r="P87" s="4"/>
      <c r="Q87" s="4"/>
      <c r="R87" s="4"/>
      <c r="S87" s="4"/>
      <c r="T87" s="4"/>
      <c r="U87" s="4"/>
      <c r="V87" s="4"/>
      <c r="W87" s="4"/>
      <c r="X87" s="4"/>
      <c r="Y87" s="4"/>
      <c r="Z87" s="4"/>
      <c r="AA87" s="4"/>
    </row>
    <row r="88" spans="1:27" s="5" customFormat="1" ht="290" x14ac:dyDescent="0.35">
      <c r="A88" s="4"/>
      <c r="B88" s="7" t="s">
        <v>579</v>
      </c>
      <c r="C88" s="4" t="s">
        <v>580</v>
      </c>
      <c r="D88" s="8" t="s">
        <v>581</v>
      </c>
      <c r="E88" s="8" t="s">
        <v>582</v>
      </c>
      <c r="F88" s="1" t="s">
        <v>583</v>
      </c>
      <c r="G88" s="4"/>
      <c r="H88" s="4"/>
      <c r="I88" s="4"/>
      <c r="J88" s="4"/>
      <c r="K88" s="1"/>
      <c r="L88" s="1" t="s">
        <v>791</v>
      </c>
      <c r="M88" s="4"/>
      <c r="N88" s="1"/>
      <c r="O88" s="23"/>
      <c r="P88" s="4"/>
      <c r="Q88" s="4"/>
      <c r="R88" s="4"/>
      <c r="S88" s="4"/>
      <c r="T88" s="4"/>
      <c r="U88" s="4"/>
      <c r="V88" s="4"/>
      <c r="W88" s="4"/>
      <c r="X88" s="4"/>
      <c r="Y88" s="4"/>
      <c r="Z88" s="4"/>
      <c r="AA88" s="4"/>
    </row>
    <row r="89" spans="1:27" s="5" customFormat="1" ht="72.5" x14ac:dyDescent="0.35">
      <c r="A89" s="4"/>
      <c r="B89" s="7" t="s">
        <v>579</v>
      </c>
      <c r="C89" s="4" t="s">
        <v>580</v>
      </c>
      <c r="D89" s="8" t="s">
        <v>581</v>
      </c>
      <c r="E89" s="8" t="s">
        <v>582</v>
      </c>
      <c r="F89" s="1" t="s">
        <v>583</v>
      </c>
      <c r="G89" s="4"/>
      <c r="H89" s="4"/>
      <c r="I89" s="4"/>
      <c r="J89" s="4" t="s">
        <v>591</v>
      </c>
      <c r="K89" s="4" t="s">
        <v>792</v>
      </c>
      <c r="L89" s="1"/>
      <c r="M89" s="4" t="s">
        <v>251</v>
      </c>
      <c r="N89" s="1"/>
      <c r="O89" s="4" t="s">
        <v>252</v>
      </c>
      <c r="P89" s="4"/>
      <c r="Q89" s="4"/>
      <c r="R89" s="4"/>
      <c r="S89" s="4"/>
      <c r="T89" s="4"/>
      <c r="U89" s="4"/>
      <c r="V89" s="4" t="s">
        <v>656</v>
      </c>
      <c r="W89" s="4"/>
      <c r="X89" s="4"/>
      <c r="Y89" s="4"/>
      <c r="Z89" s="4"/>
      <c r="AA89" s="4"/>
    </row>
    <row r="90" spans="1:27" s="5" customFormat="1" ht="87" x14ac:dyDescent="0.35">
      <c r="A90" s="4"/>
      <c r="B90" s="7" t="s">
        <v>579</v>
      </c>
      <c r="C90" s="4" t="s">
        <v>580</v>
      </c>
      <c r="D90" s="8" t="s">
        <v>581</v>
      </c>
      <c r="E90" s="8" t="s">
        <v>582</v>
      </c>
      <c r="F90" s="1" t="s">
        <v>583</v>
      </c>
      <c r="G90" s="4"/>
      <c r="H90" s="4"/>
      <c r="I90" s="4"/>
      <c r="J90" s="4" t="s">
        <v>591</v>
      </c>
      <c r="K90" s="1" t="s">
        <v>793</v>
      </c>
      <c r="L90" s="1"/>
      <c r="M90" s="4" t="s">
        <v>255</v>
      </c>
      <c r="N90" s="1"/>
      <c r="O90" s="4" t="s">
        <v>256</v>
      </c>
      <c r="P90" s="4"/>
      <c r="Q90" s="4"/>
      <c r="R90" s="4"/>
      <c r="S90" s="4"/>
      <c r="T90" s="4"/>
      <c r="U90" s="4"/>
      <c r="V90" s="4" t="s">
        <v>624</v>
      </c>
      <c r="W90" s="4"/>
      <c r="X90" s="4"/>
      <c r="Y90" s="4"/>
      <c r="Z90" s="4"/>
      <c r="AA90" s="4"/>
    </row>
    <row r="91" spans="1:27" s="5" customFormat="1" ht="72.5" x14ac:dyDescent="0.35">
      <c r="A91" s="4"/>
      <c r="B91" s="7" t="s">
        <v>579</v>
      </c>
      <c r="C91" s="4" t="s">
        <v>580</v>
      </c>
      <c r="D91" s="8" t="s">
        <v>581</v>
      </c>
      <c r="E91" s="8" t="s">
        <v>582</v>
      </c>
      <c r="F91" s="1" t="s">
        <v>583</v>
      </c>
      <c r="G91" s="4"/>
      <c r="H91" s="4"/>
      <c r="I91" s="4"/>
      <c r="J91" s="4" t="s">
        <v>591</v>
      </c>
      <c r="K91" s="1" t="s">
        <v>794</v>
      </c>
      <c r="L91" s="1"/>
      <c r="M91" s="4" t="s">
        <v>251</v>
      </c>
      <c r="N91" s="1"/>
      <c r="O91" s="4" t="s">
        <v>259</v>
      </c>
      <c r="P91" s="4"/>
      <c r="Q91" s="4"/>
      <c r="R91" s="4"/>
      <c r="S91" s="4"/>
      <c r="T91" s="4"/>
      <c r="U91" s="4"/>
      <c r="V91" s="4" t="s">
        <v>656</v>
      </c>
      <c r="W91" s="4"/>
      <c r="X91" s="4"/>
      <c r="Y91" s="4"/>
      <c r="Z91" s="4"/>
      <c r="AA91" s="4"/>
    </row>
    <row r="92" spans="1:27" s="5" customFormat="1" ht="72.5" x14ac:dyDescent="0.35">
      <c r="A92" s="4"/>
      <c r="B92" s="7" t="s">
        <v>579</v>
      </c>
      <c r="C92" s="4" t="s">
        <v>580</v>
      </c>
      <c r="D92" s="8" t="s">
        <v>581</v>
      </c>
      <c r="E92" s="8" t="s">
        <v>582</v>
      </c>
      <c r="F92" s="1" t="s">
        <v>583</v>
      </c>
      <c r="G92" s="4"/>
      <c r="H92" s="4"/>
      <c r="I92" s="4"/>
      <c r="J92" s="4" t="s">
        <v>591</v>
      </c>
      <c r="K92" s="4" t="s">
        <v>795</v>
      </c>
      <c r="L92" s="1"/>
      <c r="M92" s="4" t="s">
        <v>796</v>
      </c>
      <c r="N92" s="1"/>
      <c r="O92" s="4" t="s">
        <v>266</v>
      </c>
      <c r="P92" s="4"/>
      <c r="Q92" s="4"/>
      <c r="R92" s="4"/>
      <c r="S92" s="4"/>
      <c r="T92" s="4"/>
      <c r="U92" s="4"/>
      <c r="V92" s="4" t="s">
        <v>624</v>
      </c>
      <c r="W92" s="4"/>
      <c r="X92" s="4"/>
      <c r="Y92" s="4"/>
      <c r="Z92" s="4"/>
      <c r="AA92" s="4"/>
    </row>
    <row r="93" spans="1:27" s="5" customFormat="1" ht="188.5" x14ac:dyDescent="0.35">
      <c r="A93" s="4"/>
      <c r="B93" s="7" t="s">
        <v>579</v>
      </c>
      <c r="C93" s="4" t="s">
        <v>580</v>
      </c>
      <c r="D93" s="8" t="s">
        <v>581</v>
      </c>
      <c r="E93" s="8" t="s">
        <v>582</v>
      </c>
      <c r="F93" s="1" t="s">
        <v>583</v>
      </c>
      <c r="G93" s="4"/>
      <c r="H93" s="4"/>
      <c r="I93" s="4"/>
      <c r="J93" s="4"/>
      <c r="K93" s="1"/>
      <c r="L93" s="1" t="s">
        <v>797</v>
      </c>
      <c r="M93" s="4"/>
      <c r="N93" s="1"/>
      <c r="O93" s="4"/>
      <c r="P93" s="4"/>
      <c r="Q93" s="4"/>
      <c r="R93" s="4"/>
      <c r="S93" s="4"/>
      <c r="T93" s="4"/>
      <c r="U93" s="4"/>
      <c r="V93" s="4"/>
      <c r="W93" s="4"/>
      <c r="X93" s="4"/>
      <c r="Y93" s="4"/>
      <c r="Z93" s="4"/>
      <c r="AA93" s="4"/>
    </row>
    <row r="94" spans="1:27" s="5" customFormat="1" ht="116" x14ac:dyDescent="0.35">
      <c r="A94" s="4"/>
      <c r="B94" s="7" t="s">
        <v>579</v>
      </c>
      <c r="C94" s="4" t="s">
        <v>580</v>
      </c>
      <c r="D94" s="8" t="s">
        <v>581</v>
      </c>
      <c r="E94" s="8" t="s">
        <v>582</v>
      </c>
      <c r="F94" s="1" t="s">
        <v>583</v>
      </c>
      <c r="G94" s="4"/>
      <c r="H94" s="4"/>
      <c r="I94" s="4"/>
      <c r="J94" s="4" t="s">
        <v>591</v>
      </c>
      <c r="K94" s="1" t="s">
        <v>798</v>
      </c>
      <c r="L94" s="1"/>
      <c r="M94" s="4" t="s">
        <v>269</v>
      </c>
      <c r="N94" s="1"/>
      <c r="O94" s="4" t="s">
        <v>799</v>
      </c>
      <c r="P94" s="4"/>
      <c r="Q94" s="4"/>
      <c r="R94" s="4"/>
      <c r="S94" s="4"/>
      <c r="T94" s="4"/>
      <c r="U94" s="4"/>
      <c r="V94" s="4" t="s">
        <v>624</v>
      </c>
      <c r="W94" s="4"/>
      <c r="X94" s="4"/>
      <c r="Y94" s="4"/>
      <c r="Z94" s="4"/>
      <c r="AA94" s="4"/>
    </row>
    <row r="95" spans="1:27" s="5" customFormat="1" ht="87" x14ac:dyDescent="0.35">
      <c r="A95" s="4"/>
      <c r="B95" s="7" t="s">
        <v>579</v>
      </c>
      <c r="C95" s="4" t="s">
        <v>580</v>
      </c>
      <c r="D95" s="8" t="s">
        <v>581</v>
      </c>
      <c r="E95" s="8" t="s">
        <v>582</v>
      </c>
      <c r="F95" s="1" t="s">
        <v>583</v>
      </c>
      <c r="G95" s="4"/>
      <c r="H95" s="4"/>
      <c r="I95" s="4"/>
      <c r="J95" s="4" t="s">
        <v>591</v>
      </c>
      <c r="K95" s="1" t="s">
        <v>272</v>
      </c>
      <c r="L95" s="1"/>
      <c r="M95" s="4" t="s">
        <v>273</v>
      </c>
      <c r="N95" s="1"/>
      <c r="O95" s="4" t="s">
        <v>274</v>
      </c>
      <c r="P95" s="4"/>
      <c r="Q95" s="4"/>
      <c r="R95" s="4"/>
      <c r="S95" s="4"/>
      <c r="T95" s="4"/>
      <c r="U95" s="4"/>
      <c r="V95" s="4" t="s">
        <v>624</v>
      </c>
      <c r="W95" s="4"/>
      <c r="X95" s="4"/>
      <c r="Y95" s="4"/>
      <c r="Z95" s="4"/>
      <c r="AA95" s="4"/>
    </row>
    <row r="96" spans="1:27" s="5" customFormat="1" ht="72.5" x14ac:dyDescent="0.35">
      <c r="A96" s="4"/>
      <c r="B96" s="7" t="s">
        <v>579</v>
      </c>
      <c r="C96" s="4" t="s">
        <v>580</v>
      </c>
      <c r="D96" s="8" t="s">
        <v>581</v>
      </c>
      <c r="E96" s="8" t="s">
        <v>582</v>
      </c>
      <c r="F96" s="1" t="s">
        <v>583</v>
      </c>
      <c r="G96" s="4"/>
      <c r="H96" s="4"/>
      <c r="I96" s="4"/>
      <c r="J96" s="4" t="s">
        <v>591</v>
      </c>
      <c r="K96" s="1" t="s">
        <v>800</v>
      </c>
      <c r="L96" s="1"/>
      <c r="M96" s="4" t="s">
        <v>801</v>
      </c>
      <c r="N96" s="1"/>
      <c r="O96" s="4" t="s">
        <v>802</v>
      </c>
      <c r="P96" s="4"/>
      <c r="Q96" s="4"/>
      <c r="R96" s="4"/>
      <c r="S96" s="4"/>
      <c r="T96" s="4"/>
      <c r="U96" s="4"/>
      <c r="V96" s="4" t="s">
        <v>624</v>
      </c>
      <c r="W96" s="4"/>
      <c r="X96" s="4"/>
      <c r="Y96" s="4"/>
      <c r="Z96" s="4"/>
      <c r="AA96" s="4"/>
    </row>
    <row r="97" spans="1:27" s="5" customFormat="1" ht="116" x14ac:dyDescent="0.35">
      <c r="A97" s="4"/>
      <c r="B97" s="7" t="s">
        <v>579</v>
      </c>
      <c r="C97" s="4" t="s">
        <v>580</v>
      </c>
      <c r="D97" s="8" t="s">
        <v>581</v>
      </c>
      <c r="E97" s="8" t="s">
        <v>582</v>
      </c>
      <c r="F97" s="1" t="s">
        <v>583</v>
      </c>
      <c r="G97" s="4"/>
      <c r="H97" s="4"/>
      <c r="I97" s="4"/>
      <c r="J97" s="4" t="s">
        <v>591</v>
      </c>
      <c r="K97" s="1" t="s">
        <v>362</v>
      </c>
      <c r="L97" s="1"/>
      <c r="M97" s="4" t="s">
        <v>363</v>
      </c>
      <c r="N97" s="1"/>
      <c r="O97" s="4" t="s">
        <v>803</v>
      </c>
      <c r="P97" s="4"/>
      <c r="Q97" s="4"/>
      <c r="R97" s="4"/>
      <c r="S97" s="4"/>
      <c r="T97" s="4"/>
      <c r="U97" s="4"/>
      <c r="V97" s="4" t="s">
        <v>624</v>
      </c>
      <c r="W97" s="4"/>
      <c r="X97" s="4"/>
      <c r="Y97" s="4"/>
      <c r="Z97" s="4"/>
      <c r="AA97" s="4"/>
    </row>
    <row r="98" spans="1:27" s="5" customFormat="1" ht="72.5" x14ac:dyDescent="0.35">
      <c r="A98" s="4"/>
      <c r="B98" s="7" t="s">
        <v>579</v>
      </c>
      <c r="C98" s="4" t="s">
        <v>580</v>
      </c>
      <c r="D98" s="8" t="s">
        <v>581</v>
      </c>
      <c r="E98" s="8" t="s">
        <v>582</v>
      </c>
      <c r="F98" s="1" t="s">
        <v>583</v>
      </c>
      <c r="G98" s="4"/>
      <c r="H98" s="4"/>
      <c r="I98" s="4"/>
      <c r="J98" s="4" t="s">
        <v>591</v>
      </c>
      <c r="K98" s="1" t="s">
        <v>804</v>
      </c>
      <c r="L98" s="1"/>
      <c r="M98" s="4" t="s">
        <v>277</v>
      </c>
      <c r="N98" s="1"/>
      <c r="O98" s="4" t="s">
        <v>278</v>
      </c>
      <c r="P98" s="4"/>
      <c r="Q98" s="4"/>
      <c r="R98" s="4"/>
      <c r="S98" s="4"/>
      <c r="T98" s="4"/>
      <c r="U98" s="4"/>
      <c r="V98" s="4" t="s">
        <v>624</v>
      </c>
      <c r="W98" s="4"/>
      <c r="X98" s="4"/>
      <c r="Y98" s="4"/>
      <c r="Z98" s="4"/>
      <c r="AA98" s="4"/>
    </row>
    <row r="99" spans="1:27" s="5" customFormat="1" ht="72.5" x14ac:dyDescent="0.35">
      <c r="A99" s="4"/>
      <c r="B99" s="7" t="s">
        <v>579</v>
      </c>
      <c r="C99" s="4" t="s">
        <v>580</v>
      </c>
      <c r="D99" s="8" t="s">
        <v>581</v>
      </c>
      <c r="E99" s="8" t="s">
        <v>582</v>
      </c>
      <c r="F99" s="1" t="s">
        <v>583</v>
      </c>
      <c r="G99" s="4"/>
      <c r="H99" s="4"/>
      <c r="I99" s="4"/>
      <c r="J99" s="4" t="s">
        <v>601</v>
      </c>
      <c r="K99" s="1" t="s">
        <v>805</v>
      </c>
      <c r="L99" s="1"/>
      <c r="M99" s="4" t="s">
        <v>806</v>
      </c>
      <c r="N99" s="1"/>
      <c r="O99" s="4" t="s">
        <v>807</v>
      </c>
      <c r="P99" s="4"/>
      <c r="Q99" s="4"/>
      <c r="R99" s="4"/>
      <c r="S99" s="4"/>
      <c r="T99" s="4"/>
      <c r="U99" s="4"/>
      <c r="V99" s="4" t="s">
        <v>624</v>
      </c>
      <c r="W99" s="4"/>
      <c r="X99" s="4"/>
      <c r="Y99" s="4"/>
      <c r="Z99" s="4"/>
      <c r="AA99" s="4"/>
    </row>
    <row r="100" spans="1:27" s="5" customFormat="1" ht="87" x14ac:dyDescent="0.35">
      <c r="A100" s="4"/>
      <c r="B100" s="7" t="s">
        <v>579</v>
      </c>
      <c r="C100" s="4" t="s">
        <v>580</v>
      </c>
      <c r="D100" s="8" t="s">
        <v>581</v>
      </c>
      <c r="E100" s="8" t="s">
        <v>582</v>
      </c>
      <c r="F100" s="1" t="s">
        <v>583</v>
      </c>
      <c r="G100" s="4"/>
      <c r="H100" s="4"/>
      <c r="I100" s="4"/>
      <c r="J100" s="4" t="s">
        <v>595</v>
      </c>
      <c r="K100" s="1" t="s">
        <v>808</v>
      </c>
      <c r="L100" s="1" t="s">
        <v>369</v>
      </c>
      <c r="M100" s="4" t="s">
        <v>336</v>
      </c>
      <c r="N100" s="1"/>
      <c r="O100" s="4" t="s">
        <v>337</v>
      </c>
      <c r="P100" s="4"/>
      <c r="Q100" s="4"/>
      <c r="R100" s="4"/>
      <c r="S100" s="4"/>
      <c r="T100" s="4"/>
      <c r="U100" s="4"/>
      <c r="V100" s="4"/>
      <c r="W100" s="4"/>
      <c r="X100" s="4"/>
      <c r="Y100" s="4"/>
      <c r="Z100" s="4"/>
      <c r="AA100" s="4"/>
    </row>
    <row r="101" spans="1:27" s="5" customFormat="1" ht="409.5" x14ac:dyDescent="0.35">
      <c r="A101" s="4"/>
      <c r="B101" s="7" t="s">
        <v>579</v>
      </c>
      <c r="C101" s="4" t="s">
        <v>580</v>
      </c>
      <c r="D101" s="8" t="s">
        <v>581</v>
      </c>
      <c r="E101" s="8" t="s">
        <v>582</v>
      </c>
      <c r="F101" s="1" t="s">
        <v>583</v>
      </c>
      <c r="G101" s="4"/>
      <c r="H101" s="4"/>
      <c r="I101" s="4"/>
      <c r="J101" s="4"/>
      <c r="K101" s="1"/>
      <c r="L101" s="1" t="s">
        <v>809</v>
      </c>
      <c r="M101" s="4"/>
      <c r="N101" s="1"/>
      <c r="O101" s="4"/>
      <c r="P101" s="4"/>
      <c r="Q101" s="4"/>
      <c r="R101" s="4"/>
      <c r="S101" s="4"/>
      <c r="T101" s="4"/>
      <c r="U101" s="4"/>
      <c r="V101" s="4"/>
      <c r="W101" s="4"/>
      <c r="X101" s="4"/>
      <c r="Y101" s="4"/>
      <c r="Z101" s="4"/>
      <c r="AA101" s="4"/>
    </row>
    <row r="102" spans="1:27" s="5" customFormat="1" ht="116" x14ac:dyDescent="0.35">
      <c r="A102" s="4"/>
      <c r="B102" s="7" t="s">
        <v>579</v>
      </c>
      <c r="C102" s="4" t="s">
        <v>580</v>
      </c>
      <c r="D102" s="8" t="s">
        <v>581</v>
      </c>
      <c r="E102" s="8" t="s">
        <v>582</v>
      </c>
      <c r="F102" s="1" t="s">
        <v>583</v>
      </c>
      <c r="G102" s="4"/>
      <c r="H102" s="4"/>
      <c r="I102" s="4"/>
      <c r="J102" s="4" t="s">
        <v>591</v>
      </c>
      <c r="K102" s="1" t="s">
        <v>373</v>
      </c>
      <c r="L102" s="1"/>
      <c r="M102" s="4" t="s">
        <v>374</v>
      </c>
      <c r="N102" s="1"/>
      <c r="O102" s="4" t="s">
        <v>375</v>
      </c>
      <c r="P102" s="4"/>
      <c r="Q102" s="4"/>
      <c r="R102" s="4"/>
      <c r="S102" s="4"/>
      <c r="T102" s="4"/>
      <c r="U102" s="4"/>
      <c r="V102" s="4" t="s">
        <v>656</v>
      </c>
      <c r="W102" s="4"/>
      <c r="X102" s="4"/>
      <c r="Y102" s="4"/>
      <c r="Z102" s="4"/>
      <c r="AA102" s="4"/>
    </row>
    <row r="103" spans="1:27" s="5" customFormat="1" ht="174" x14ac:dyDescent="0.35">
      <c r="A103" s="4"/>
      <c r="B103" s="7" t="s">
        <v>579</v>
      </c>
      <c r="C103" s="4" t="s">
        <v>580</v>
      </c>
      <c r="D103" s="8" t="s">
        <v>581</v>
      </c>
      <c r="E103" s="8" t="s">
        <v>582</v>
      </c>
      <c r="F103" s="1" t="s">
        <v>583</v>
      </c>
      <c r="G103" s="4"/>
      <c r="H103" s="4"/>
      <c r="I103" s="4"/>
      <c r="J103" s="4" t="s">
        <v>591</v>
      </c>
      <c r="K103" s="1" t="s">
        <v>377</v>
      </c>
      <c r="L103" s="1"/>
      <c r="M103" s="4" t="s">
        <v>374</v>
      </c>
      <c r="N103" s="1"/>
      <c r="O103" s="4" t="s">
        <v>378</v>
      </c>
      <c r="P103" s="4"/>
      <c r="Q103" s="4"/>
      <c r="R103" s="4"/>
      <c r="S103" s="4"/>
      <c r="T103" s="4"/>
      <c r="U103" s="4"/>
      <c r="V103" s="4" t="s">
        <v>624</v>
      </c>
      <c r="W103" s="4"/>
      <c r="X103" s="4"/>
      <c r="Y103" s="4"/>
      <c r="Z103" s="4"/>
      <c r="AA103" s="4"/>
    </row>
    <row r="104" spans="1:27" s="5" customFormat="1" ht="72.5" x14ac:dyDescent="0.35">
      <c r="A104" s="4"/>
      <c r="B104" s="7" t="s">
        <v>579</v>
      </c>
      <c r="C104" s="4" t="s">
        <v>580</v>
      </c>
      <c r="D104" s="8" t="s">
        <v>581</v>
      </c>
      <c r="E104" s="8" t="s">
        <v>582</v>
      </c>
      <c r="F104" s="1" t="s">
        <v>583</v>
      </c>
      <c r="G104" s="4"/>
      <c r="H104" s="4"/>
      <c r="I104" s="4"/>
      <c r="J104" s="4" t="s">
        <v>591</v>
      </c>
      <c r="K104" s="1" t="s">
        <v>810</v>
      </c>
      <c r="L104" s="1"/>
      <c r="M104" s="4" t="s">
        <v>381</v>
      </c>
      <c r="N104" s="1"/>
      <c r="O104" s="4" t="s">
        <v>382</v>
      </c>
      <c r="P104" s="4"/>
      <c r="Q104" s="4"/>
      <c r="R104" s="4"/>
      <c r="S104" s="4"/>
      <c r="T104" s="4"/>
      <c r="U104" s="4"/>
      <c r="V104" s="4" t="s">
        <v>624</v>
      </c>
      <c r="W104" s="4"/>
      <c r="X104" s="4"/>
      <c r="Y104" s="4"/>
      <c r="Z104" s="4"/>
      <c r="AA104" s="4"/>
    </row>
    <row r="105" spans="1:27" s="5" customFormat="1" ht="72.5" x14ac:dyDescent="0.35">
      <c r="A105" s="4"/>
      <c r="B105" s="7" t="s">
        <v>579</v>
      </c>
      <c r="C105" s="4" t="s">
        <v>580</v>
      </c>
      <c r="D105" s="8" t="s">
        <v>581</v>
      </c>
      <c r="E105" s="8" t="s">
        <v>582</v>
      </c>
      <c r="F105" s="1" t="s">
        <v>583</v>
      </c>
      <c r="G105" s="4"/>
      <c r="H105" s="4"/>
      <c r="I105" s="4"/>
      <c r="J105" s="4" t="s">
        <v>601</v>
      </c>
      <c r="K105" s="1" t="s">
        <v>811</v>
      </c>
      <c r="L105" s="1"/>
      <c r="M105" s="4" t="s">
        <v>371</v>
      </c>
      <c r="N105" s="1"/>
      <c r="O105" s="4" t="s">
        <v>384</v>
      </c>
      <c r="P105" s="4"/>
      <c r="Q105" s="4"/>
      <c r="R105" s="4"/>
      <c r="S105" s="4"/>
      <c r="T105" s="4"/>
      <c r="U105" s="4"/>
      <c r="V105" s="4" t="s">
        <v>624</v>
      </c>
      <c r="W105" s="4"/>
      <c r="X105" s="4"/>
      <c r="Y105" s="4"/>
      <c r="Z105" s="4"/>
      <c r="AA105" s="4"/>
    </row>
    <row r="106" spans="1:27" s="5" customFormat="1" ht="87" x14ac:dyDescent="0.35">
      <c r="A106" s="4"/>
      <c r="B106" s="7" t="s">
        <v>579</v>
      </c>
      <c r="C106" s="4" t="s">
        <v>580</v>
      </c>
      <c r="D106" s="8" t="s">
        <v>581</v>
      </c>
      <c r="E106" s="8" t="s">
        <v>582</v>
      </c>
      <c r="F106" s="1" t="s">
        <v>583</v>
      </c>
      <c r="G106" s="4"/>
      <c r="H106" s="4"/>
      <c r="I106" s="4"/>
      <c r="J106" s="4" t="s">
        <v>591</v>
      </c>
      <c r="K106" s="1" t="s">
        <v>812</v>
      </c>
      <c r="L106" s="1"/>
      <c r="M106" s="4" t="s">
        <v>387</v>
      </c>
      <c r="N106" s="1"/>
      <c r="O106" s="4" t="s">
        <v>388</v>
      </c>
      <c r="P106" s="4"/>
      <c r="Q106" s="4"/>
      <c r="R106" s="4"/>
      <c r="S106" s="4"/>
      <c r="T106" s="4"/>
      <c r="U106" s="4"/>
      <c r="V106" s="4" t="s">
        <v>624</v>
      </c>
      <c r="W106" s="4"/>
      <c r="X106" s="4"/>
      <c r="Y106" s="4"/>
      <c r="Z106" s="4"/>
      <c r="AA106" s="4"/>
    </row>
    <row r="107" spans="1:27" s="5" customFormat="1" ht="87" x14ac:dyDescent="0.35">
      <c r="A107" s="4"/>
      <c r="B107" s="7" t="s">
        <v>579</v>
      </c>
      <c r="C107" s="4" t="s">
        <v>580</v>
      </c>
      <c r="D107" s="8" t="s">
        <v>581</v>
      </c>
      <c r="E107" s="8" t="s">
        <v>582</v>
      </c>
      <c r="F107" s="1" t="s">
        <v>583</v>
      </c>
      <c r="G107" s="4"/>
      <c r="H107" s="4"/>
      <c r="I107" s="4"/>
      <c r="J107" s="4" t="s">
        <v>591</v>
      </c>
      <c r="K107" s="1" t="s">
        <v>813</v>
      </c>
      <c r="L107" s="1"/>
      <c r="M107" s="4" t="s">
        <v>391</v>
      </c>
      <c r="N107" s="1"/>
      <c r="O107" s="4" t="s">
        <v>392</v>
      </c>
      <c r="P107" s="4"/>
      <c r="Q107" s="4"/>
      <c r="R107" s="4"/>
      <c r="S107" s="4"/>
      <c r="T107" s="4"/>
      <c r="U107" s="4"/>
      <c r="V107" s="4" t="s">
        <v>624</v>
      </c>
      <c r="W107" s="4"/>
      <c r="X107" s="4"/>
      <c r="Y107" s="4"/>
      <c r="Z107" s="4"/>
      <c r="AA107" s="4"/>
    </row>
    <row r="108" spans="1:27" s="5" customFormat="1" ht="409.5" x14ac:dyDescent="0.35">
      <c r="A108" s="4"/>
      <c r="B108" s="7" t="s">
        <v>579</v>
      </c>
      <c r="C108" s="4" t="s">
        <v>580</v>
      </c>
      <c r="D108" s="8" t="s">
        <v>581</v>
      </c>
      <c r="E108" s="8" t="s">
        <v>582</v>
      </c>
      <c r="F108" s="1" t="s">
        <v>583</v>
      </c>
      <c r="G108" s="4"/>
      <c r="H108" s="4"/>
      <c r="I108" s="4"/>
      <c r="J108" s="4"/>
      <c r="K108" s="1"/>
      <c r="L108" s="1" t="s">
        <v>814</v>
      </c>
      <c r="M108" s="4"/>
      <c r="N108" s="1"/>
      <c r="O108" s="4"/>
      <c r="P108" s="4"/>
      <c r="Q108" s="4"/>
      <c r="R108" s="4"/>
      <c r="S108" s="4"/>
      <c r="T108" s="4"/>
      <c r="U108" s="4"/>
      <c r="V108" s="4"/>
      <c r="W108" s="4"/>
      <c r="X108" s="4"/>
      <c r="Y108" s="4"/>
      <c r="Z108" s="4"/>
      <c r="AA108" s="4"/>
    </row>
    <row r="109" spans="1:27" s="5" customFormat="1" ht="116" x14ac:dyDescent="0.35">
      <c r="A109" s="4"/>
      <c r="B109" s="7" t="s">
        <v>579</v>
      </c>
      <c r="C109" s="4" t="s">
        <v>580</v>
      </c>
      <c r="D109" s="8" t="s">
        <v>581</v>
      </c>
      <c r="E109" s="8" t="s">
        <v>582</v>
      </c>
      <c r="F109" s="1" t="s">
        <v>583</v>
      </c>
      <c r="G109" s="4"/>
      <c r="H109" s="4"/>
      <c r="I109" s="4"/>
      <c r="J109" s="4" t="s">
        <v>601</v>
      </c>
      <c r="K109" s="1" t="s">
        <v>815</v>
      </c>
      <c r="L109" s="1"/>
      <c r="M109" s="4" t="s">
        <v>816</v>
      </c>
      <c r="N109" s="1"/>
      <c r="O109" s="4" t="s">
        <v>817</v>
      </c>
      <c r="P109" s="4"/>
      <c r="Q109" s="4"/>
      <c r="R109" s="4"/>
      <c r="S109" s="4"/>
      <c r="T109" s="4"/>
      <c r="U109" s="4"/>
      <c r="V109" s="4" t="s">
        <v>624</v>
      </c>
      <c r="W109" s="4"/>
      <c r="X109" s="4"/>
      <c r="Y109" s="4"/>
      <c r="Z109" s="4"/>
      <c r="AA109" s="4"/>
    </row>
    <row r="110" spans="1:27" s="5" customFormat="1" ht="72.5" x14ac:dyDescent="0.35">
      <c r="A110" s="4"/>
      <c r="B110" s="7" t="s">
        <v>579</v>
      </c>
      <c r="C110" s="4" t="s">
        <v>580</v>
      </c>
      <c r="D110" s="8" t="s">
        <v>581</v>
      </c>
      <c r="E110" s="8" t="s">
        <v>582</v>
      </c>
      <c r="F110" s="1" t="s">
        <v>583</v>
      </c>
      <c r="G110" s="4"/>
      <c r="H110" s="4"/>
      <c r="I110" s="4"/>
      <c r="J110" s="4" t="s">
        <v>595</v>
      </c>
      <c r="K110" s="1" t="s">
        <v>818</v>
      </c>
      <c r="L110" s="1"/>
      <c r="M110" s="4" t="s">
        <v>819</v>
      </c>
      <c r="N110" s="1"/>
      <c r="O110" s="4" t="s">
        <v>820</v>
      </c>
      <c r="P110" s="4"/>
      <c r="Q110" s="4"/>
      <c r="R110" s="4"/>
      <c r="S110" s="4"/>
      <c r="T110" s="4"/>
      <c r="U110" s="4"/>
      <c r="V110" s="4" t="s">
        <v>624</v>
      </c>
      <c r="W110" s="4"/>
      <c r="X110" s="4"/>
      <c r="Y110" s="4"/>
      <c r="Z110" s="4"/>
      <c r="AA110" s="4"/>
    </row>
    <row r="111" spans="1:27" s="5" customFormat="1" ht="72.5" x14ac:dyDescent="0.35">
      <c r="A111" s="4"/>
      <c r="B111" s="7" t="s">
        <v>579</v>
      </c>
      <c r="C111" s="4" t="s">
        <v>580</v>
      </c>
      <c r="D111" s="8" t="s">
        <v>581</v>
      </c>
      <c r="E111" s="8" t="s">
        <v>582</v>
      </c>
      <c r="F111" s="1" t="s">
        <v>583</v>
      </c>
      <c r="G111" s="4"/>
      <c r="H111" s="4"/>
      <c r="I111" s="4"/>
      <c r="J111" s="4" t="s">
        <v>595</v>
      </c>
      <c r="K111" s="1" t="s">
        <v>821</v>
      </c>
      <c r="L111" s="1"/>
      <c r="M111" s="4" t="s">
        <v>822</v>
      </c>
      <c r="N111" s="1"/>
      <c r="O111" s="4" t="s">
        <v>823</v>
      </c>
      <c r="P111" s="4"/>
      <c r="Q111" s="4"/>
      <c r="R111" s="4"/>
      <c r="S111" s="4"/>
      <c r="T111" s="4"/>
      <c r="U111" s="4"/>
      <c r="V111" s="4" t="s">
        <v>624</v>
      </c>
      <c r="W111" s="4"/>
      <c r="X111" s="4"/>
      <c r="Y111" s="4"/>
      <c r="Z111" s="4"/>
      <c r="AA111" s="4"/>
    </row>
    <row r="112" spans="1:27" s="5" customFormat="1" ht="409.5" x14ac:dyDescent="0.35">
      <c r="A112" s="4"/>
      <c r="B112" s="7" t="s">
        <v>579</v>
      </c>
      <c r="C112" s="4" t="s">
        <v>580</v>
      </c>
      <c r="D112" s="8" t="s">
        <v>581</v>
      </c>
      <c r="E112" s="8" t="s">
        <v>582</v>
      </c>
      <c r="F112" s="1" t="s">
        <v>583</v>
      </c>
      <c r="G112" s="4"/>
      <c r="H112" s="4"/>
      <c r="I112" s="4"/>
      <c r="J112" s="4"/>
      <c r="K112" s="1"/>
      <c r="L112" s="1" t="s">
        <v>824</v>
      </c>
      <c r="M112" s="4"/>
      <c r="N112" s="1"/>
      <c r="O112" s="4"/>
      <c r="P112" s="4"/>
      <c r="Q112" s="4"/>
      <c r="R112" s="4"/>
      <c r="S112" s="4"/>
      <c r="T112" s="4"/>
      <c r="U112" s="4"/>
      <c r="V112" s="4"/>
      <c r="W112" s="4"/>
      <c r="X112" s="4"/>
      <c r="Y112" s="4"/>
      <c r="Z112" s="4"/>
      <c r="AA112" s="4"/>
    </row>
    <row r="113" spans="1:27" s="5" customFormat="1" ht="72.5" x14ac:dyDescent="0.35">
      <c r="A113" s="4"/>
      <c r="B113" s="7" t="s">
        <v>579</v>
      </c>
      <c r="C113" s="4" t="s">
        <v>580</v>
      </c>
      <c r="D113" s="8" t="s">
        <v>581</v>
      </c>
      <c r="E113" s="8" t="s">
        <v>582</v>
      </c>
      <c r="F113" s="1" t="s">
        <v>583</v>
      </c>
      <c r="G113" s="4"/>
      <c r="H113" s="4"/>
      <c r="I113" s="4"/>
      <c r="J113" s="4" t="s">
        <v>601</v>
      </c>
      <c r="K113" s="1" t="s">
        <v>825</v>
      </c>
      <c r="L113" s="1"/>
      <c r="M113" s="4" t="s">
        <v>202</v>
      </c>
      <c r="N113" s="1"/>
      <c r="O113" s="4" t="s">
        <v>826</v>
      </c>
      <c r="P113" s="4"/>
      <c r="Q113" s="4"/>
      <c r="R113" s="4"/>
      <c r="S113" s="4"/>
      <c r="T113" s="4"/>
      <c r="U113" s="4"/>
      <c r="V113" s="4" t="s">
        <v>624</v>
      </c>
      <c r="W113" s="4"/>
      <c r="X113" s="4"/>
      <c r="Y113" s="4"/>
      <c r="Z113" s="4"/>
      <c r="AA113" s="4"/>
    </row>
    <row r="114" spans="1:27" s="5" customFormat="1" ht="72.5" x14ac:dyDescent="0.35">
      <c r="A114" s="4"/>
      <c r="B114" s="7" t="s">
        <v>579</v>
      </c>
      <c r="C114" s="4" t="s">
        <v>580</v>
      </c>
      <c r="D114" s="8" t="s">
        <v>581</v>
      </c>
      <c r="E114" s="8" t="s">
        <v>582</v>
      </c>
      <c r="F114" s="1" t="s">
        <v>583</v>
      </c>
      <c r="G114" s="4"/>
      <c r="H114" s="4"/>
      <c r="I114" s="4"/>
      <c r="J114" s="4" t="s">
        <v>601</v>
      </c>
      <c r="K114" s="1" t="s">
        <v>827</v>
      </c>
      <c r="L114" s="1"/>
      <c r="M114" s="4" t="s">
        <v>828</v>
      </c>
      <c r="N114" s="1"/>
      <c r="O114" s="4" t="s">
        <v>829</v>
      </c>
      <c r="P114" s="4"/>
      <c r="Q114" s="4"/>
      <c r="R114" s="4"/>
      <c r="S114" s="4"/>
      <c r="T114" s="4"/>
      <c r="U114" s="4"/>
      <c r="V114" s="4" t="s">
        <v>624</v>
      </c>
      <c r="W114" s="4"/>
      <c r="X114" s="4"/>
      <c r="Y114" s="4"/>
      <c r="Z114" s="4"/>
      <c r="AA114" s="4"/>
    </row>
    <row r="115" spans="1:27" s="5" customFormat="1" ht="87" x14ac:dyDescent="0.35">
      <c r="A115" s="4"/>
      <c r="B115" s="7" t="s">
        <v>579</v>
      </c>
      <c r="C115" s="4" t="s">
        <v>580</v>
      </c>
      <c r="D115" s="8" t="s">
        <v>581</v>
      </c>
      <c r="E115" s="8" t="s">
        <v>582</v>
      </c>
      <c r="F115" s="1" t="s">
        <v>583</v>
      </c>
      <c r="G115" s="4"/>
      <c r="H115" s="4"/>
      <c r="I115" s="4"/>
      <c r="J115" s="4" t="s">
        <v>830</v>
      </c>
      <c r="K115" s="1" t="s">
        <v>831</v>
      </c>
      <c r="L115" s="1"/>
      <c r="M115" s="4" t="s">
        <v>832</v>
      </c>
      <c r="N115" s="1"/>
      <c r="O115" s="4" t="s">
        <v>833</v>
      </c>
      <c r="P115" s="4"/>
      <c r="Q115" s="4"/>
      <c r="R115" s="4"/>
      <c r="S115" s="4"/>
      <c r="T115" s="4"/>
      <c r="U115" s="4"/>
      <c r="V115" s="4" t="s">
        <v>624</v>
      </c>
      <c r="W115" s="4"/>
      <c r="X115" s="4"/>
      <c r="Y115" s="4"/>
      <c r="Z115" s="4"/>
      <c r="AA115" s="4"/>
    </row>
    <row r="116" spans="1:27" s="5" customFormat="1" ht="232" x14ac:dyDescent="0.35">
      <c r="A116" s="4"/>
      <c r="B116" s="7" t="s">
        <v>579</v>
      </c>
      <c r="C116" s="4" t="s">
        <v>580</v>
      </c>
      <c r="D116" s="8" t="s">
        <v>581</v>
      </c>
      <c r="E116" s="8" t="s">
        <v>582</v>
      </c>
      <c r="F116" s="1" t="s">
        <v>583</v>
      </c>
      <c r="G116" s="4"/>
      <c r="H116" s="4"/>
      <c r="I116" s="4"/>
      <c r="J116" s="4"/>
      <c r="K116" s="1"/>
      <c r="L116" s="1" t="s">
        <v>834</v>
      </c>
      <c r="M116" s="4"/>
      <c r="N116" s="1"/>
      <c r="O116" s="4"/>
      <c r="P116" s="4"/>
      <c r="Q116" s="4"/>
      <c r="R116" s="4"/>
      <c r="S116" s="4"/>
      <c r="T116" s="4"/>
      <c r="U116" s="4"/>
      <c r="V116" s="4"/>
      <c r="W116" s="4"/>
      <c r="X116" s="4"/>
      <c r="Y116" s="4"/>
      <c r="Z116" s="4"/>
      <c r="AA116" s="4"/>
    </row>
    <row r="117" spans="1:27" s="5" customFormat="1" ht="409.5" x14ac:dyDescent="0.35">
      <c r="A117" s="4"/>
      <c r="B117" s="7" t="s">
        <v>579</v>
      </c>
      <c r="C117" s="4" t="s">
        <v>580</v>
      </c>
      <c r="D117" s="8" t="s">
        <v>581</v>
      </c>
      <c r="E117" s="8" t="s">
        <v>582</v>
      </c>
      <c r="F117" s="1" t="s">
        <v>583</v>
      </c>
      <c r="G117" s="4"/>
      <c r="H117" s="4"/>
      <c r="I117" s="4"/>
      <c r="J117" s="22" t="s">
        <v>591</v>
      </c>
      <c r="K117" s="2" t="s">
        <v>835</v>
      </c>
      <c r="L117" s="2"/>
      <c r="M117" s="22" t="s">
        <v>836</v>
      </c>
      <c r="N117" s="2"/>
      <c r="O117" s="22" t="s">
        <v>837</v>
      </c>
      <c r="P117" s="4"/>
      <c r="Q117" s="4"/>
      <c r="R117" s="4"/>
      <c r="S117" s="4"/>
      <c r="T117" s="4"/>
      <c r="U117" s="4"/>
      <c r="V117" s="22" t="s">
        <v>838</v>
      </c>
      <c r="W117" s="4"/>
      <c r="X117" s="4"/>
      <c r="Y117" s="4"/>
      <c r="Z117" s="4"/>
      <c r="AA117" s="4"/>
    </row>
    <row r="118" spans="1:27" s="5" customFormat="1" ht="72.5" x14ac:dyDescent="0.35">
      <c r="A118" s="4"/>
      <c r="B118" s="7" t="s">
        <v>579</v>
      </c>
      <c r="C118" s="4" t="s">
        <v>580</v>
      </c>
      <c r="D118" s="8" t="s">
        <v>581</v>
      </c>
      <c r="E118" s="8" t="s">
        <v>582</v>
      </c>
      <c r="F118" s="1" t="s">
        <v>583</v>
      </c>
      <c r="G118" s="4"/>
      <c r="H118" s="4"/>
      <c r="I118" s="4"/>
      <c r="J118" s="22" t="s">
        <v>595</v>
      </c>
      <c r="K118" s="2" t="s">
        <v>839</v>
      </c>
      <c r="L118" s="2"/>
      <c r="M118" s="22" t="s">
        <v>840</v>
      </c>
      <c r="N118" s="2"/>
      <c r="O118" s="22" t="s">
        <v>841</v>
      </c>
      <c r="P118" s="4"/>
      <c r="Q118" s="4"/>
      <c r="R118" s="4"/>
      <c r="S118" s="4"/>
      <c r="T118" s="4"/>
      <c r="U118" s="4"/>
      <c r="V118" s="22"/>
      <c r="W118" s="4"/>
      <c r="X118" s="4"/>
      <c r="Y118" s="4"/>
      <c r="Z118" s="4"/>
      <c r="AA118" s="4"/>
    </row>
    <row r="119" spans="1:27" s="5" customFormat="1" ht="72.5" x14ac:dyDescent="0.35">
      <c r="A119" s="4"/>
      <c r="B119" s="7" t="s">
        <v>579</v>
      </c>
      <c r="C119" s="4" t="s">
        <v>580</v>
      </c>
      <c r="D119" s="8" t="s">
        <v>581</v>
      </c>
      <c r="E119" s="8" t="s">
        <v>582</v>
      </c>
      <c r="F119" s="1" t="s">
        <v>583</v>
      </c>
      <c r="G119" s="4"/>
      <c r="H119" s="4"/>
      <c r="I119" s="4"/>
      <c r="J119" s="22" t="s">
        <v>595</v>
      </c>
      <c r="K119" s="2" t="s">
        <v>842</v>
      </c>
      <c r="L119" s="2"/>
      <c r="M119" s="22" t="s">
        <v>843</v>
      </c>
      <c r="N119" s="2"/>
      <c r="O119" s="22" t="s">
        <v>844</v>
      </c>
      <c r="P119" s="4"/>
      <c r="Q119" s="4"/>
      <c r="R119" s="4"/>
      <c r="S119" s="4"/>
      <c r="T119" s="4"/>
      <c r="U119" s="4"/>
      <c r="V119" s="22"/>
      <c r="W119" s="4"/>
      <c r="X119" s="4"/>
      <c r="Y119" s="4"/>
      <c r="Z119" s="4"/>
      <c r="AA119" s="4"/>
    </row>
    <row r="120" spans="1:27" s="5" customFormat="1" ht="72.5" x14ac:dyDescent="0.35">
      <c r="A120" s="4"/>
      <c r="B120" s="7" t="s">
        <v>579</v>
      </c>
      <c r="C120" s="4" t="s">
        <v>580</v>
      </c>
      <c r="D120" s="8" t="s">
        <v>581</v>
      </c>
      <c r="E120" s="8" t="s">
        <v>582</v>
      </c>
      <c r="F120" s="1" t="s">
        <v>583</v>
      </c>
      <c r="G120" s="4"/>
      <c r="H120" s="4"/>
      <c r="I120" s="4"/>
      <c r="J120" s="4" t="s">
        <v>713</v>
      </c>
      <c r="K120" s="1" t="s">
        <v>845</v>
      </c>
      <c r="L120" s="1"/>
      <c r="M120" s="4" t="s">
        <v>846</v>
      </c>
      <c r="N120" s="1"/>
      <c r="O120" s="4" t="s">
        <v>847</v>
      </c>
      <c r="P120" s="4"/>
      <c r="Q120" s="4"/>
      <c r="R120" s="4"/>
      <c r="S120" s="4"/>
      <c r="T120" s="4"/>
      <c r="U120" s="4"/>
      <c r="V120" s="4" t="s">
        <v>624</v>
      </c>
      <c r="W120" s="4"/>
      <c r="X120" s="4"/>
      <c r="Y120" s="4"/>
      <c r="Z120" s="4"/>
      <c r="AA120" s="4"/>
    </row>
    <row r="121" spans="1:27" s="5" customFormat="1" ht="116" x14ac:dyDescent="0.35">
      <c r="A121" s="4"/>
      <c r="B121" s="7" t="s">
        <v>579</v>
      </c>
      <c r="C121" s="4" t="s">
        <v>580</v>
      </c>
      <c r="D121" s="8" t="s">
        <v>581</v>
      </c>
      <c r="E121" s="8" t="s">
        <v>582</v>
      </c>
      <c r="F121" s="1" t="s">
        <v>583</v>
      </c>
      <c r="G121" s="4"/>
      <c r="H121" s="4"/>
      <c r="I121" s="4"/>
      <c r="J121" s="4"/>
      <c r="K121" s="1"/>
      <c r="L121" s="1" t="s">
        <v>848</v>
      </c>
      <c r="M121" s="4"/>
      <c r="N121" s="1"/>
      <c r="O121" s="4"/>
      <c r="P121" s="4"/>
      <c r="Q121" s="4"/>
      <c r="R121" s="4"/>
      <c r="S121" s="4"/>
      <c r="T121" s="4"/>
      <c r="U121" s="4"/>
      <c r="V121" s="4"/>
      <c r="W121" s="4"/>
      <c r="X121" s="4"/>
      <c r="Y121" s="4"/>
      <c r="Z121" s="4"/>
      <c r="AA121" s="4"/>
    </row>
    <row r="122" spans="1:27" s="5" customFormat="1" ht="72.5" x14ac:dyDescent="0.35">
      <c r="A122" s="4"/>
      <c r="B122" s="7" t="s">
        <v>579</v>
      </c>
      <c r="C122" s="4" t="s">
        <v>580</v>
      </c>
      <c r="D122" s="8" t="s">
        <v>581</v>
      </c>
      <c r="E122" s="8" t="s">
        <v>582</v>
      </c>
      <c r="F122" s="1" t="s">
        <v>583</v>
      </c>
      <c r="G122" s="4"/>
      <c r="H122" s="4"/>
      <c r="I122" s="4"/>
      <c r="J122" s="4" t="s">
        <v>595</v>
      </c>
      <c r="K122" s="4" t="s">
        <v>849</v>
      </c>
      <c r="L122" s="25"/>
      <c r="M122" s="1" t="s">
        <v>850</v>
      </c>
      <c r="N122" s="25"/>
      <c r="O122" s="25" t="s">
        <v>851</v>
      </c>
      <c r="P122" s="4"/>
      <c r="Q122" s="4"/>
      <c r="R122" s="4"/>
      <c r="S122" s="4"/>
      <c r="T122" s="4"/>
      <c r="U122" s="4"/>
      <c r="V122" s="4" t="s">
        <v>624</v>
      </c>
      <c r="W122" s="4"/>
      <c r="X122" s="4"/>
      <c r="Y122" s="4"/>
      <c r="Z122" s="4"/>
      <c r="AA122" s="4"/>
    </row>
    <row r="123" spans="1:27" s="5" customFormat="1" ht="409.5" x14ac:dyDescent="0.35">
      <c r="A123" s="4"/>
      <c r="B123" s="7" t="s">
        <v>579</v>
      </c>
      <c r="C123" s="4" t="s">
        <v>580</v>
      </c>
      <c r="D123" s="8" t="s">
        <v>581</v>
      </c>
      <c r="E123" s="8" t="s">
        <v>582</v>
      </c>
      <c r="F123" s="1" t="s">
        <v>583</v>
      </c>
      <c r="G123" s="4"/>
      <c r="H123" s="4"/>
      <c r="I123" s="4"/>
      <c r="J123" s="4"/>
      <c r="K123" s="1"/>
      <c r="L123" s="1" t="s">
        <v>852</v>
      </c>
      <c r="M123" s="4"/>
      <c r="N123" s="1"/>
      <c r="O123" s="4"/>
      <c r="P123" s="4"/>
      <c r="Q123" s="4"/>
      <c r="R123" s="4"/>
      <c r="S123" s="4"/>
      <c r="T123" s="4"/>
      <c r="U123" s="4"/>
      <c r="V123" s="4"/>
      <c r="W123" s="4"/>
      <c r="X123" s="4"/>
      <c r="Y123" s="4"/>
      <c r="Z123" s="4"/>
      <c r="AA123" s="4"/>
    </row>
    <row r="124" spans="1:27" s="5" customFormat="1" ht="72.5" x14ac:dyDescent="0.35">
      <c r="A124" s="4"/>
      <c r="B124" s="7" t="s">
        <v>579</v>
      </c>
      <c r="C124" s="4" t="s">
        <v>580</v>
      </c>
      <c r="D124" s="8" t="s">
        <v>581</v>
      </c>
      <c r="E124" s="8" t="s">
        <v>582</v>
      </c>
      <c r="F124" s="1" t="s">
        <v>583</v>
      </c>
      <c r="G124" s="4"/>
      <c r="H124" s="4"/>
      <c r="I124" s="4"/>
      <c r="J124" s="4" t="s">
        <v>853</v>
      </c>
      <c r="K124" s="4" t="s">
        <v>854</v>
      </c>
      <c r="L124" s="25"/>
      <c r="M124" s="4" t="s">
        <v>855</v>
      </c>
      <c r="N124" s="25"/>
      <c r="O124" s="4" t="s">
        <v>856</v>
      </c>
      <c r="P124" s="4"/>
      <c r="Q124" s="4"/>
      <c r="R124" s="4"/>
      <c r="S124" s="4"/>
      <c r="T124" s="4"/>
      <c r="U124" s="4"/>
      <c r="V124" s="4" t="s">
        <v>624</v>
      </c>
      <c r="W124" s="4"/>
      <c r="X124" s="4"/>
      <c r="Y124" s="4"/>
      <c r="Z124" s="4"/>
      <c r="AA124" s="4"/>
    </row>
    <row r="125" spans="1:27" s="5" customFormat="1" ht="101.5" x14ac:dyDescent="0.35">
      <c r="A125" s="4"/>
      <c r="B125" s="7" t="s">
        <v>579</v>
      </c>
      <c r="C125" s="4" t="s">
        <v>580</v>
      </c>
      <c r="D125" s="8" t="s">
        <v>581</v>
      </c>
      <c r="E125" s="8" t="s">
        <v>582</v>
      </c>
      <c r="F125" s="1" t="s">
        <v>583</v>
      </c>
      <c r="G125" s="4"/>
      <c r="H125" s="4"/>
      <c r="I125" s="4"/>
      <c r="J125" s="4" t="s">
        <v>591</v>
      </c>
      <c r="K125" s="4" t="s">
        <v>857</v>
      </c>
      <c r="L125" s="25"/>
      <c r="M125" s="4" t="s">
        <v>858</v>
      </c>
      <c r="N125" s="25"/>
      <c r="O125" s="25" t="s">
        <v>859</v>
      </c>
      <c r="P125" s="4"/>
      <c r="Q125" s="4"/>
      <c r="R125" s="4"/>
      <c r="S125" s="4"/>
      <c r="T125" s="4"/>
      <c r="U125" s="4"/>
      <c r="V125" s="4" t="s">
        <v>624</v>
      </c>
      <c r="W125" s="4"/>
      <c r="X125" s="4"/>
      <c r="Y125" s="4"/>
      <c r="Z125" s="4"/>
      <c r="AA125" s="4"/>
    </row>
    <row r="126" spans="1:27" s="5" customFormat="1" ht="87" x14ac:dyDescent="0.35">
      <c r="A126" s="4"/>
      <c r="B126" s="7" t="s">
        <v>579</v>
      </c>
      <c r="C126" s="4" t="s">
        <v>580</v>
      </c>
      <c r="D126" s="8" t="s">
        <v>581</v>
      </c>
      <c r="E126" s="8" t="s">
        <v>582</v>
      </c>
      <c r="F126" s="1" t="s">
        <v>583</v>
      </c>
      <c r="G126" s="4"/>
      <c r="H126" s="4"/>
      <c r="I126" s="4"/>
      <c r="J126" s="4" t="s">
        <v>601</v>
      </c>
      <c r="K126" s="4" t="s">
        <v>860</v>
      </c>
      <c r="L126" s="25"/>
      <c r="M126" s="4" t="s">
        <v>861</v>
      </c>
      <c r="N126" s="25"/>
      <c r="O126" s="25" t="s">
        <v>862</v>
      </c>
      <c r="P126" s="4"/>
      <c r="Q126" s="4"/>
      <c r="R126" s="4"/>
      <c r="S126" s="4"/>
      <c r="T126" s="4"/>
      <c r="U126" s="4"/>
      <c r="V126" s="4" t="s">
        <v>624</v>
      </c>
      <c r="W126" s="4"/>
      <c r="X126" s="4"/>
      <c r="Y126" s="4"/>
      <c r="Z126" s="4"/>
      <c r="AA126" s="4"/>
    </row>
    <row r="127" spans="1:27" s="5" customFormat="1" ht="72.5" x14ac:dyDescent="0.35">
      <c r="A127" s="4"/>
      <c r="B127" s="7" t="s">
        <v>579</v>
      </c>
      <c r="C127" s="4" t="s">
        <v>580</v>
      </c>
      <c r="D127" s="8" t="s">
        <v>581</v>
      </c>
      <c r="E127" s="8" t="s">
        <v>582</v>
      </c>
      <c r="F127" s="1" t="s">
        <v>583</v>
      </c>
      <c r="G127" s="4"/>
      <c r="H127" s="4"/>
      <c r="I127" s="4"/>
      <c r="J127" s="4" t="s">
        <v>601</v>
      </c>
      <c r="K127" s="4" t="s">
        <v>863</v>
      </c>
      <c r="L127" s="25"/>
      <c r="M127" s="4" t="s">
        <v>328</v>
      </c>
      <c r="N127" s="25"/>
      <c r="O127" s="25" t="s">
        <v>864</v>
      </c>
      <c r="P127" s="4"/>
      <c r="Q127" s="4"/>
      <c r="R127" s="4"/>
      <c r="S127" s="4"/>
      <c r="T127" s="4"/>
      <c r="U127" s="4"/>
      <c r="V127" s="4" t="s">
        <v>624</v>
      </c>
      <c r="W127" s="4"/>
      <c r="X127" s="4"/>
      <c r="Y127" s="4"/>
      <c r="Z127" s="4"/>
      <c r="AA127" s="4"/>
    </row>
    <row r="128" spans="1:27" s="5" customFormat="1" ht="72.5" x14ac:dyDescent="0.35">
      <c r="A128" s="4"/>
      <c r="B128" s="7" t="s">
        <v>579</v>
      </c>
      <c r="C128" s="4" t="s">
        <v>580</v>
      </c>
      <c r="D128" s="8" t="s">
        <v>581</v>
      </c>
      <c r="E128" s="8" t="s">
        <v>582</v>
      </c>
      <c r="F128" s="1" t="s">
        <v>583</v>
      </c>
      <c r="G128" s="4"/>
      <c r="H128" s="4"/>
      <c r="I128" s="4"/>
      <c r="J128" s="4" t="s">
        <v>601</v>
      </c>
      <c r="K128" s="4" t="s">
        <v>865</v>
      </c>
      <c r="L128" s="25"/>
      <c r="M128" s="4" t="s">
        <v>332</v>
      </c>
      <c r="N128" s="25"/>
      <c r="O128" s="25" t="s">
        <v>866</v>
      </c>
      <c r="P128" s="4"/>
      <c r="Q128" s="4"/>
      <c r="R128" s="4"/>
      <c r="S128" s="4"/>
      <c r="T128" s="4"/>
      <c r="U128" s="4"/>
      <c r="V128" s="4" t="s">
        <v>624</v>
      </c>
      <c r="W128" s="4"/>
      <c r="X128" s="4"/>
      <c r="Y128" s="4"/>
      <c r="Z128" s="4"/>
      <c r="AA128" s="4"/>
    </row>
    <row r="129" spans="1:27" s="5" customFormat="1" ht="101.5" x14ac:dyDescent="0.35">
      <c r="A129" s="4"/>
      <c r="B129" s="7" t="s">
        <v>579</v>
      </c>
      <c r="C129" s="4" t="s">
        <v>580</v>
      </c>
      <c r="D129" s="8" t="s">
        <v>581</v>
      </c>
      <c r="E129" s="8" t="s">
        <v>582</v>
      </c>
      <c r="F129" s="1" t="s">
        <v>583</v>
      </c>
      <c r="G129" s="4"/>
      <c r="H129" s="4"/>
      <c r="I129" s="4"/>
      <c r="J129" s="4" t="s">
        <v>601</v>
      </c>
      <c r="K129" s="4" t="s">
        <v>867</v>
      </c>
      <c r="L129" s="25"/>
      <c r="M129" s="4" t="s">
        <v>868</v>
      </c>
      <c r="N129" s="25"/>
      <c r="O129" s="4" t="s">
        <v>869</v>
      </c>
      <c r="P129" s="4"/>
      <c r="Q129" s="4"/>
      <c r="R129" s="4"/>
      <c r="S129" s="4"/>
      <c r="T129" s="4"/>
      <c r="U129" s="4"/>
      <c r="V129" s="4" t="s">
        <v>624</v>
      </c>
      <c r="W129" s="4"/>
      <c r="X129" s="4"/>
      <c r="Y129" s="4"/>
      <c r="Z129" s="4"/>
      <c r="AA129" s="4"/>
    </row>
    <row r="130" spans="1:27" s="5" customFormat="1" ht="72.5" x14ac:dyDescent="0.35">
      <c r="A130" s="4"/>
      <c r="B130" s="7" t="s">
        <v>579</v>
      </c>
      <c r="C130" s="4" t="s">
        <v>580</v>
      </c>
      <c r="D130" s="8" t="s">
        <v>581</v>
      </c>
      <c r="E130" s="8" t="s">
        <v>582</v>
      </c>
      <c r="F130" s="1" t="s">
        <v>583</v>
      </c>
      <c r="G130" s="4"/>
      <c r="H130" s="4"/>
      <c r="I130" s="4"/>
      <c r="J130" s="4"/>
      <c r="K130" s="1"/>
      <c r="L130" s="1" t="s">
        <v>870</v>
      </c>
      <c r="M130" s="4"/>
      <c r="N130" s="1"/>
      <c r="O130" s="4"/>
      <c r="P130" s="4"/>
      <c r="Q130" s="4"/>
      <c r="R130" s="4"/>
      <c r="S130" s="4"/>
      <c r="T130" s="4"/>
      <c r="U130" s="4"/>
      <c r="V130" s="4"/>
      <c r="W130" s="4"/>
      <c r="X130" s="4"/>
      <c r="Y130" s="4"/>
      <c r="Z130" s="4"/>
      <c r="AA130" s="4"/>
    </row>
  </sheetData>
  <mergeCells count="1">
    <mergeCell ref="F1:H1"/>
  </mergeCells>
  <dataValidations count="1">
    <dataValidation type="list" allowBlank="1" showInputMessage="1" showErrorMessage="1" sqref="C22:C130 C3:C17" xr:uid="{6DBA1189-7DA7-4BEB-9056-B36E910A57D4}">
      <formula1>"S2C,P2R,I2P,WHT,other"</formula1>
    </dataValidation>
  </dataValidations>
  <pageMargins left="0.7" right="0.7" top="0.75" bottom="0.75" header="0.3" footer="0.3"/>
  <customProperties>
    <customPr name="_pios_id" r:id="rId1"/>
    <customPr name="EpmWorksheetKeyString_GUID" r:id="rId2"/>
  </customProperties>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012E2-CA1A-4951-8A10-B886B83B0717}">
  <dimension ref="A1:AA5"/>
  <sheetViews>
    <sheetView zoomScale="50" zoomScaleNormal="50" workbookViewId="0">
      <pane ySplit="1" topLeftCell="A2" activePane="bottomLeft" state="frozen"/>
      <selection pane="bottomLeft" activeCell="K2" sqref="K2"/>
    </sheetView>
  </sheetViews>
  <sheetFormatPr defaultColWidth="8.7265625" defaultRowHeight="14.5" x14ac:dyDescent="0.35"/>
  <cols>
    <col min="2" max="2" width="18" customWidth="1"/>
    <col min="5" max="5" width="11.7265625" customWidth="1"/>
    <col min="11" max="11" width="41.453125" customWidth="1"/>
    <col min="12" max="12" width="52.26953125" customWidth="1"/>
    <col min="13" max="13" width="40.26953125" customWidth="1"/>
    <col min="14" max="14" width="38" customWidth="1"/>
    <col min="15" max="15" width="49.26953125" customWidth="1"/>
  </cols>
  <sheetData>
    <row r="1" spans="1:27" s="10" customFormat="1" ht="58" x14ac:dyDescent="0.35">
      <c r="A1" s="12" t="s">
        <v>577</v>
      </c>
      <c r="B1" s="12" t="s">
        <v>36</v>
      </c>
      <c r="C1" s="12" t="s">
        <v>37</v>
      </c>
      <c r="D1" s="12" t="s">
        <v>38</v>
      </c>
      <c r="E1" s="12" t="s">
        <v>39</v>
      </c>
      <c r="F1" s="12" t="s">
        <v>2</v>
      </c>
      <c r="G1" s="12" t="s">
        <v>3</v>
      </c>
      <c r="H1" s="12" t="s">
        <v>4</v>
      </c>
      <c r="I1" s="12" t="s">
        <v>578</v>
      </c>
      <c r="J1" s="12" t="s">
        <v>40</v>
      </c>
      <c r="K1" s="12" t="s">
        <v>41</v>
      </c>
      <c r="L1" s="12" t="s">
        <v>42</v>
      </c>
      <c r="M1" s="12" t="s">
        <v>43</v>
      </c>
      <c r="N1" s="12" t="s">
        <v>48</v>
      </c>
      <c r="O1" s="12" t="s">
        <v>44</v>
      </c>
      <c r="P1" s="12" t="s">
        <v>49</v>
      </c>
      <c r="Q1" s="12" t="s">
        <v>50</v>
      </c>
      <c r="R1" s="12" t="s">
        <v>51</v>
      </c>
      <c r="S1" s="12" t="s">
        <v>52</v>
      </c>
      <c r="T1" s="12" t="s">
        <v>53</v>
      </c>
      <c r="U1" s="12" t="s">
        <v>54</v>
      </c>
      <c r="V1" s="12" t="s">
        <v>45</v>
      </c>
    </row>
    <row r="2" spans="1:27" s="5" customFormat="1" ht="217.5" x14ac:dyDescent="0.35">
      <c r="A2" s="4"/>
      <c r="B2" s="7" t="s">
        <v>579</v>
      </c>
      <c r="C2" s="4" t="s">
        <v>580</v>
      </c>
      <c r="D2" s="8" t="s">
        <v>581</v>
      </c>
      <c r="E2" s="8" t="s">
        <v>582</v>
      </c>
      <c r="F2" s="1" t="s">
        <v>583</v>
      </c>
      <c r="G2" s="4"/>
      <c r="H2" s="4"/>
      <c r="I2" s="4"/>
      <c r="J2" s="4" t="s">
        <v>601</v>
      </c>
      <c r="K2" s="3" t="s">
        <v>694</v>
      </c>
      <c r="L2" s="1" t="s">
        <v>695</v>
      </c>
      <c r="M2" s="4" t="s">
        <v>696</v>
      </c>
      <c r="N2" s="1"/>
      <c r="O2" s="4" t="s">
        <v>697</v>
      </c>
      <c r="P2" s="4"/>
      <c r="Q2" s="4"/>
      <c r="R2" s="4"/>
      <c r="S2" s="4"/>
      <c r="T2" s="4"/>
      <c r="U2" s="4"/>
      <c r="V2" s="4" t="s">
        <v>624</v>
      </c>
      <c r="W2" s="4"/>
      <c r="X2" s="4"/>
      <c r="Y2" s="4"/>
      <c r="Z2" s="4"/>
      <c r="AA2" s="4"/>
    </row>
    <row r="3" spans="1:27" s="5" customFormat="1" ht="188.5" x14ac:dyDescent="0.35">
      <c r="A3" s="4"/>
      <c r="B3" s="7" t="s">
        <v>579</v>
      </c>
      <c r="C3" s="4" t="s">
        <v>580</v>
      </c>
      <c r="D3" s="8" t="s">
        <v>581</v>
      </c>
      <c r="E3" s="8" t="s">
        <v>582</v>
      </c>
      <c r="F3" s="1" t="s">
        <v>583</v>
      </c>
      <c r="G3" s="1"/>
      <c r="H3" s="1"/>
      <c r="I3" s="1"/>
      <c r="J3" s="4" t="s">
        <v>595</v>
      </c>
      <c r="K3" s="3" t="s">
        <v>871</v>
      </c>
      <c r="L3" s="1"/>
      <c r="M3" s="4" t="s">
        <v>872</v>
      </c>
      <c r="N3" s="1"/>
      <c r="O3" s="4" t="s">
        <v>873</v>
      </c>
    </row>
    <row r="4" spans="1:27" s="5" customFormat="1" ht="58" x14ac:dyDescent="0.35">
      <c r="A4" s="4"/>
      <c r="B4" s="7" t="s">
        <v>579</v>
      </c>
      <c r="C4" s="4" t="s">
        <v>580</v>
      </c>
      <c r="D4" s="8" t="s">
        <v>581</v>
      </c>
      <c r="E4" s="8" t="s">
        <v>582</v>
      </c>
      <c r="F4" s="1" t="s">
        <v>583</v>
      </c>
      <c r="G4" s="1"/>
      <c r="H4" s="1"/>
      <c r="I4" s="1"/>
      <c r="J4" s="1" t="s">
        <v>595</v>
      </c>
      <c r="K4" s="1" t="s">
        <v>650</v>
      </c>
      <c r="L4" s="1"/>
      <c r="M4" s="4" t="s">
        <v>648</v>
      </c>
      <c r="N4" s="1"/>
      <c r="O4" s="4" t="s">
        <v>651</v>
      </c>
    </row>
    <row r="5" spans="1:27" s="5" customFormat="1" ht="58" x14ac:dyDescent="0.35">
      <c r="A5" s="4"/>
      <c r="B5" s="7" t="s">
        <v>579</v>
      </c>
      <c r="C5" s="4" t="s">
        <v>580</v>
      </c>
      <c r="D5" s="8" t="s">
        <v>581</v>
      </c>
      <c r="E5" s="8" t="s">
        <v>582</v>
      </c>
      <c r="F5" s="1" t="s">
        <v>583</v>
      </c>
      <c r="G5" s="1"/>
      <c r="H5" s="1"/>
      <c r="I5" s="1"/>
      <c r="J5" s="4" t="s">
        <v>601</v>
      </c>
      <c r="K5" s="1" t="s">
        <v>874</v>
      </c>
      <c r="L5" s="1"/>
      <c r="M5" s="4" t="s">
        <v>875</v>
      </c>
      <c r="N5" s="1"/>
      <c r="O5" s="4" t="s">
        <v>876</v>
      </c>
    </row>
  </sheetData>
  <dataValidations count="1">
    <dataValidation type="list" allowBlank="1" showInputMessage="1" showErrorMessage="1" sqref="C2:C5" xr:uid="{6DBA1189-7DA7-4BEB-9056-B36E910A57D4}">
      <formula1>"S2C,P2R,I2P,WHT,other"</formula1>
    </dataValidation>
  </dataValidations>
  <pageMargins left="0.7" right="0.7" top="0.75" bottom="0.75" header="0.3" footer="0.3"/>
  <customProperties>
    <customPr name="_pios_id" r:id="rId1"/>
    <customPr name="EpmWorksheetKeyString_GUID" r:id="rId2"/>
  </customProperties>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5ECA5-429F-4058-B291-21381B75A6BB}">
  <dimension ref="A1:W32"/>
  <sheetViews>
    <sheetView zoomScale="50" zoomScaleNormal="50" workbookViewId="0">
      <pane xSplit="7" ySplit="2" topLeftCell="H3" activePane="bottomRight" state="frozen"/>
      <selection pane="topRight" activeCell="G1" sqref="G1"/>
      <selection pane="bottomLeft" activeCell="A3" sqref="A3"/>
      <selection pane="bottomRight" activeCell="A4" sqref="A4"/>
    </sheetView>
  </sheetViews>
  <sheetFormatPr defaultColWidth="11.453125" defaultRowHeight="14.5" x14ac:dyDescent="0.35"/>
  <cols>
    <col min="1" max="1" width="17.453125" style="5" customWidth="1"/>
    <col min="2" max="2" width="16" style="5" customWidth="1"/>
    <col min="3" max="3" width="10.26953125" style="5" customWidth="1"/>
    <col min="4" max="4" width="11.453125" style="11"/>
    <col min="5" max="5" width="18.26953125" style="5" customWidth="1"/>
    <col min="6" max="6" width="13" style="5" customWidth="1"/>
    <col min="7" max="7" width="48" style="5" customWidth="1"/>
    <col min="8" max="8" width="68.7265625" style="5" customWidth="1"/>
    <col min="9" max="9" width="38.453125" style="5" customWidth="1"/>
    <col min="10" max="10" width="20.453125" style="5" customWidth="1"/>
    <col min="11" max="11" width="34.26953125" style="5" customWidth="1"/>
    <col min="12" max="13" width="20.7265625" style="5" customWidth="1"/>
    <col min="14" max="14" width="34.453125" style="5" customWidth="1"/>
    <col min="15" max="17" width="20.7265625" style="5" customWidth="1"/>
    <col min="18" max="18" width="42.453125" style="5" customWidth="1"/>
    <col min="19" max="19" width="20.7265625" style="5" customWidth="1"/>
    <col min="20" max="22" width="11.453125" style="5"/>
    <col min="23" max="23" width="15.26953125" style="5" customWidth="1"/>
    <col min="24" max="16384" width="11.453125" style="5"/>
  </cols>
  <sheetData>
    <row r="1" spans="1:23" x14ac:dyDescent="0.35">
      <c r="A1" s="4"/>
      <c r="B1" s="4"/>
      <c r="C1" s="4"/>
      <c r="D1" s="8"/>
      <c r="E1" s="4"/>
      <c r="F1" s="4"/>
      <c r="G1" s="4"/>
      <c r="H1" s="4"/>
      <c r="I1" s="4"/>
      <c r="J1" s="4"/>
      <c r="K1" s="4"/>
      <c r="L1" s="4"/>
      <c r="M1" s="4"/>
      <c r="N1" s="4"/>
      <c r="O1" s="4"/>
      <c r="P1" s="4"/>
      <c r="Q1" s="4"/>
      <c r="R1" s="4"/>
      <c r="S1" s="192" t="s">
        <v>6</v>
      </c>
      <c r="T1" s="192"/>
      <c r="U1" s="192"/>
      <c r="V1" s="192"/>
      <c r="W1" s="192"/>
    </row>
    <row r="2" spans="1:23" s="10" customFormat="1" ht="43.5" x14ac:dyDescent="0.35">
      <c r="A2" s="12" t="s">
        <v>577</v>
      </c>
      <c r="B2" s="12" t="s">
        <v>36</v>
      </c>
      <c r="C2" s="12" t="s">
        <v>877</v>
      </c>
      <c r="D2" s="12" t="s">
        <v>38</v>
      </c>
      <c r="E2" s="12" t="s">
        <v>878</v>
      </c>
      <c r="F2" s="12" t="s">
        <v>40</v>
      </c>
      <c r="G2" s="12" t="s">
        <v>41</v>
      </c>
      <c r="H2" s="12" t="s">
        <v>42</v>
      </c>
      <c r="I2" s="12" t="s">
        <v>43</v>
      </c>
      <c r="J2" s="12" t="s">
        <v>48</v>
      </c>
      <c r="K2" s="12" t="s">
        <v>44</v>
      </c>
      <c r="L2" s="12" t="s">
        <v>49</v>
      </c>
      <c r="M2" s="12" t="s">
        <v>50</v>
      </c>
      <c r="N2" s="12" t="s">
        <v>51</v>
      </c>
      <c r="O2" s="12" t="s">
        <v>52</v>
      </c>
      <c r="P2" s="12" t="s">
        <v>53</v>
      </c>
      <c r="Q2" s="12" t="s">
        <v>54</v>
      </c>
      <c r="R2" s="12" t="s">
        <v>45</v>
      </c>
      <c r="S2" s="14" t="s">
        <v>879</v>
      </c>
      <c r="T2" s="14" t="s">
        <v>880</v>
      </c>
      <c r="U2" s="14" t="s">
        <v>881</v>
      </c>
      <c r="V2" s="14" t="s">
        <v>882</v>
      </c>
      <c r="W2" s="14" t="s">
        <v>883</v>
      </c>
    </row>
    <row r="3" spans="1:23" s="6" customFormat="1" ht="29" x14ac:dyDescent="0.35">
      <c r="A3" s="19" t="s">
        <v>884</v>
      </c>
      <c r="B3" s="19"/>
      <c r="C3" s="19"/>
      <c r="D3" s="20"/>
      <c r="E3" s="19"/>
      <c r="F3" s="19"/>
      <c r="G3" s="19"/>
      <c r="H3" s="19"/>
      <c r="I3" s="19"/>
      <c r="J3" s="19"/>
      <c r="K3" s="19"/>
      <c r="L3" s="19"/>
      <c r="M3" s="19"/>
      <c r="N3" s="19"/>
      <c r="O3" s="19"/>
      <c r="P3" s="19"/>
      <c r="Q3" s="19"/>
      <c r="R3" s="19"/>
      <c r="S3" s="15"/>
      <c r="T3" s="15"/>
      <c r="U3" s="15"/>
      <c r="V3" s="15"/>
      <c r="W3" s="15"/>
    </row>
    <row r="4" spans="1:23" ht="43.5" x14ac:dyDescent="0.35">
      <c r="A4" s="4" t="s">
        <v>885</v>
      </c>
      <c r="B4" s="7" t="s">
        <v>886</v>
      </c>
      <c r="C4" s="4" t="s">
        <v>580</v>
      </c>
      <c r="D4" s="8" t="s">
        <v>581</v>
      </c>
      <c r="E4" s="1" t="s">
        <v>887</v>
      </c>
      <c r="F4" s="4" t="s">
        <v>888</v>
      </c>
      <c r="G4" s="1" t="s">
        <v>889</v>
      </c>
      <c r="H4" s="4" t="s">
        <v>890</v>
      </c>
      <c r="I4" s="4" t="s">
        <v>891</v>
      </c>
      <c r="J4" s="1" t="s">
        <v>549</v>
      </c>
      <c r="K4" s="4"/>
      <c r="L4" s="4"/>
      <c r="M4" s="4"/>
      <c r="N4" s="4"/>
      <c r="O4" s="4"/>
      <c r="P4" s="4"/>
      <c r="Q4" s="4"/>
      <c r="R4" s="4"/>
      <c r="S4" s="18" t="s">
        <v>892</v>
      </c>
      <c r="T4" s="18" t="s">
        <v>892</v>
      </c>
      <c r="U4" s="18" t="s">
        <v>892</v>
      </c>
      <c r="V4" s="18" t="s">
        <v>892</v>
      </c>
      <c r="W4" s="18" t="s">
        <v>892</v>
      </c>
    </row>
    <row r="5" spans="1:23" ht="43.5" x14ac:dyDescent="0.35">
      <c r="A5" s="4" t="s">
        <v>893</v>
      </c>
      <c r="B5" s="7" t="s">
        <v>886</v>
      </c>
      <c r="C5" s="4" t="s">
        <v>580</v>
      </c>
      <c r="D5" s="8" t="s">
        <v>581</v>
      </c>
      <c r="E5" s="1" t="s">
        <v>894</v>
      </c>
      <c r="F5" s="4" t="s">
        <v>895</v>
      </c>
      <c r="G5" s="1" t="s">
        <v>896</v>
      </c>
      <c r="H5" s="4" t="s">
        <v>897</v>
      </c>
      <c r="I5" s="4" t="s">
        <v>898</v>
      </c>
      <c r="J5" s="1" t="s">
        <v>549</v>
      </c>
      <c r="K5" s="4"/>
      <c r="L5" s="4"/>
      <c r="M5" s="4"/>
      <c r="N5" s="4"/>
      <c r="O5" s="4"/>
      <c r="P5" s="4"/>
      <c r="Q5" s="4"/>
      <c r="R5" s="4"/>
      <c r="S5" s="18" t="s">
        <v>892</v>
      </c>
      <c r="T5" s="18" t="s">
        <v>892</v>
      </c>
      <c r="U5" s="18" t="s">
        <v>892</v>
      </c>
      <c r="V5" s="18" t="s">
        <v>892</v>
      </c>
      <c r="W5" s="18" t="s">
        <v>892</v>
      </c>
    </row>
    <row r="6" spans="1:23" s="6" customFormat="1" ht="43.5" x14ac:dyDescent="0.35">
      <c r="A6" s="19" t="s">
        <v>899</v>
      </c>
      <c r="B6" s="19"/>
      <c r="C6" s="19"/>
      <c r="D6" s="20"/>
      <c r="E6" s="19"/>
      <c r="F6" s="19"/>
      <c r="G6" s="19"/>
      <c r="H6" s="19"/>
      <c r="I6" s="19"/>
      <c r="J6" s="19"/>
      <c r="K6" s="19"/>
      <c r="L6" s="19"/>
      <c r="M6" s="19"/>
      <c r="N6" s="19"/>
      <c r="O6" s="19"/>
      <c r="P6" s="19"/>
      <c r="Q6" s="19"/>
      <c r="R6" s="19"/>
      <c r="S6" s="16"/>
      <c r="T6" s="16"/>
      <c r="U6" s="16"/>
      <c r="V6" s="16"/>
      <c r="W6" s="16"/>
    </row>
    <row r="7" spans="1:23" ht="144.75" customHeight="1" x14ac:dyDescent="0.35">
      <c r="A7" s="4" t="s">
        <v>900</v>
      </c>
      <c r="B7" s="7" t="s">
        <v>886</v>
      </c>
      <c r="C7" s="4" t="s">
        <v>580</v>
      </c>
      <c r="D7" s="8" t="s">
        <v>581</v>
      </c>
      <c r="E7" s="13" t="s">
        <v>901</v>
      </c>
      <c r="F7" s="4"/>
      <c r="G7" s="4"/>
      <c r="H7" s="1" t="s">
        <v>902</v>
      </c>
      <c r="I7" s="4"/>
      <c r="J7" s="1"/>
      <c r="K7" s="4"/>
      <c r="L7" s="4"/>
      <c r="M7" s="4"/>
      <c r="N7" s="4"/>
      <c r="O7" s="4"/>
      <c r="P7" s="4"/>
      <c r="Q7" s="4"/>
      <c r="R7" s="4"/>
      <c r="S7" s="18" t="s">
        <v>892</v>
      </c>
      <c r="T7" s="18" t="s">
        <v>892</v>
      </c>
      <c r="U7" s="18" t="s">
        <v>892</v>
      </c>
      <c r="V7" s="18" t="s">
        <v>892</v>
      </c>
      <c r="W7" s="18" t="s">
        <v>892</v>
      </c>
    </row>
    <row r="8" spans="1:23" ht="362.5" x14ac:dyDescent="0.35">
      <c r="A8" s="4" t="s">
        <v>903</v>
      </c>
      <c r="B8" s="7" t="s">
        <v>886</v>
      </c>
      <c r="C8" s="4" t="s">
        <v>580</v>
      </c>
      <c r="D8" s="8" t="s">
        <v>581</v>
      </c>
      <c r="E8" s="1" t="s">
        <v>901</v>
      </c>
      <c r="F8" s="4" t="s">
        <v>591</v>
      </c>
      <c r="G8" s="1" t="s">
        <v>904</v>
      </c>
      <c r="H8" s="1"/>
      <c r="I8" s="4" t="s">
        <v>251</v>
      </c>
      <c r="J8" s="1" t="s">
        <v>549</v>
      </c>
      <c r="K8" s="4"/>
      <c r="L8" s="4"/>
      <c r="M8" s="4"/>
      <c r="N8" s="4"/>
      <c r="O8" s="4"/>
      <c r="P8" s="4"/>
      <c r="Q8" s="4"/>
      <c r="R8" s="4"/>
      <c r="S8" s="18" t="s">
        <v>905</v>
      </c>
      <c r="T8" s="18" t="s">
        <v>906</v>
      </c>
      <c r="U8" s="18" t="s">
        <v>892</v>
      </c>
      <c r="V8" s="18" t="s">
        <v>892</v>
      </c>
      <c r="W8" s="18" t="s">
        <v>907</v>
      </c>
    </row>
    <row r="9" spans="1:23" ht="43.5" x14ac:dyDescent="0.35">
      <c r="A9" s="4" t="s">
        <v>908</v>
      </c>
      <c r="B9" s="7" t="s">
        <v>886</v>
      </c>
      <c r="C9" s="4" t="s">
        <v>580</v>
      </c>
      <c r="D9" s="8" t="s">
        <v>581</v>
      </c>
      <c r="E9" s="1" t="s">
        <v>901</v>
      </c>
      <c r="F9" s="4" t="s">
        <v>591</v>
      </c>
      <c r="G9" s="1" t="s">
        <v>909</v>
      </c>
      <c r="H9" s="4"/>
      <c r="I9" s="4" t="s">
        <v>255</v>
      </c>
      <c r="J9" s="1" t="s">
        <v>549</v>
      </c>
      <c r="K9" s="4"/>
      <c r="L9" s="4"/>
      <c r="M9" s="4"/>
      <c r="N9" s="4"/>
      <c r="O9" s="4"/>
      <c r="P9" s="4"/>
      <c r="Q9" s="4"/>
      <c r="R9" s="4"/>
      <c r="S9" s="18" t="s">
        <v>892</v>
      </c>
      <c r="T9" s="18" t="s">
        <v>892</v>
      </c>
      <c r="U9" s="18" t="s">
        <v>892</v>
      </c>
      <c r="V9" s="18" t="s">
        <v>892</v>
      </c>
      <c r="W9" s="18" t="s">
        <v>892</v>
      </c>
    </row>
    <row r="10" spans="1:23" ht="43.5" x14ac:dyDescent="0.35">
      <c r="A10" s="4" t="s">
        <v>910</v>
      </c>
      <c r="B10" s="7" t="s">
        <v>886</v>
      </c>
      <c r="C10" s="4" t="s">
        <v>580</v>
      </c>
      <c r="D10" s="8" t="s">
        <v>581</v>
      </c>
      <c r="E10" s="1" t="s">
        <v>901</v>
      </c>
      <c r="F10" s="4" t="s">
        <v>591</v>
      </c>
      <c r="G10" s="1" t="s">
        <v>911</v>
      </c>
      <c r="H10" s="4"/>
      <c r="I10" s="4" t="s">
        <v>251</v>
      </c>
      <c r="J10" s="1" t="s">
        <v>549</v>
      </c>
      <c r="K10" s="4"/>
      <c r="L10" s="4"/>
      <c r="M10" s="4"/>
      <c r="N10" s="4"/>
      <c r="O10" s="4"/>
      <c r="P10" s="4"/>
      <c r="Q10" s="4"/>
      <c r="R10" s="4"/>
      <c r="S10" s="18" t="s">
        <v>892</v>
      </c>
      <c r="T10" s="18" t="s">
        <v>892</v>
      </c>
      <c r="U10" s="18" t="s">
        <v>892</v>
      </c>
      <c r="V10" s="18" t="s">
        <v>892</v>
      </c>
      <c r="W10" s="18" t="s">
        <v>892</v>
      </c>
    </row>
    <row r="11" spans="1:23" ht="72.5" x14ac:dyDescent="0.35">
      <c r="A11" s="4" t="s">
        <v>912</v>
      </c>
      <c r="B11" s="7" t="s">
        <v>886</v>
      </c>
      <c r="C11" s="4" t="s">
        <v>580</v>
      </c>
      <c r="D11" s="8" t="s">
        <v>581</v>
      </c>
      <c r="E11" s="1" t="s">
        <v>901</v>
      </c>
      <c r="F11" s="4" t="s">
        <v>591</v>
      </c>
      <c r="G11" s="1" t="s">
        <v>795</v>
      </c>
      <c r="H11" s="4"/>
      <c r="I11" s="4" t="s">
        <v>796</v>
      </c>
      <c r="J11" s="1" t="s">
        <v>549</v>
      </c>
      <c r="K11" s="4"/>
      <c r="L11" s="4"/>
      <c r="M11" s="4"/>
      <c r="N11" s="4"/>
      <c r="O11" s="4"/>
      <c r="P11" s="4"/>
      <c r="Q11" s="4"/>
      <c r="R11" s="4"/>
      <c r="S11" s="18" t="s">
        <v>905</v>
      </c>
      <c r="T11" s="18" t="s">
        <v>892</v>
      </c>
      <c r="U11" s="18" t="s">
        <v>892</v>
      </c>
      <c r="V11" s="18" t="s">
        <v>892</v>
      </c>
      <c r="W11" s="18" t="s">
        <v>913</v>
      </c>
    </row>
    <row r="12" spans="1:23" ht="80.25" customHeight="1" x14ac:dyDescent="0.35">
      <c r="A12" s="4" t="s">
        <v>914</v>
      </c>
      <c r="B12" s="7" t="s">
        <v>886</v>
      </c>
      <c r="C12" s="4" t="s">
        <v>580</v>
      </c>
      <c r="D12" s="8" t="s">
        <v>581</v>
      </c>
      <c r="E12" s="13" t="s">
        <v>915</v>
      </c>
      <c r="F12" s="4"/>
      <c r="G12" s="1"/>
      <c r="H12" s="9" t="s">
        <v>916</v>
      </c>
      <c r="I12" s="4"/>
      <c r="J12" s="1"/>
      <c r="K12" s="4"/>
      <c r="L12" s="4"/>
      <c r="M12" s="4"/>
      <c r="N12" s="4"/>
      <c r="O12" s="4"/>
      <c r="P12" s="4"/>
      <c r="Q12" s="4"/>
      <c r="R12" s="4"/>
      <c r="S12" s="18" t="s">
        <v>892</v>
      </c>
      <c r="T12" s="18" t="s">
        <v>892</v>
      </c>
      <c r="U12" s="18" t="s">
        <v>892</v>
      </c>
      <c r="V12" s="18" t="s">
        <v>892</v>
      </c>
      <c r="W12" s="18" t="s">
        <v>892</v>
      </c>
    </row>
    <row r="13" spans="1:23" ht="43.5" x14ac:dyDescent="0.35">
      <c r="A13" s="4" t="s">
        <v>917</v>
      </c>
      <c r="B13" s="7" t="s">
        <v>886</v>
      </c>
      <c r="C13" s="4" t="s">
        <v>580</v>
      </c>
      <c r="D13" s="8" t="s">
        <v>581</v>
      </c>
      <c r="E13" s="1" t="s">
        <v>915</v>
      </c>
      <c r="F13" s="4" t="s">
        <v>591</v>
      </c>
      <c r="G13" s="1" t="s">
        <v>918</v>
      </c>
      <c r="H13" s="4"/>
      <c r="I13" s="9" t="s">
        <v>269</v>
      </c>
      <c r="J13" s="1" t="s">
        <v>549</v>
      </c>
      <c r="K13" s="4"/>
      <c r="L13" s="4"/>
      <c r="M13" s="4"/>
      <c r="N13" s="4"/>
      <c r="O13" s="4"/>
      <c r="P13" s="4"/>
      <c r="Q13" s="4"/>
      <c r="R13" s="4"/>
      <c r="S13" s="18" t="s">
        <v>892</v>
      </c>
      <c r="T13" s="18" t="s">
        <v>892</v>
      </c>
      <c r="U13" s="18" t="s">
        <v>892</v>
      </c>
      <c r="V13" s="18" t="s">
        <v>892</v>
      </c>
      <c r="W13" s="18" t="s">
        <v>892</v>
      </c>
    </row>
    <row r="14" spans="1:23" ht="43.5" x14ac:dyDescent="0.35">
      <c r="A14" s="4" t="s">
        <v>919</v>
      </c>
      <c r="B14" s="7" t="s">
        <v>886</v>
      </c>
      <c r="C14" s="4" t="s">
        <v>580</v>
      </c>
      <c r="D14" s="8" t="s">
        <v>581</v>
      </c>
      <c r="E14" s="1" t="s">
        <v>915</v>
      </c>
      <c r="F14" s="4" t="s">
        <v>591</v>
      </c>
      <c r="G14" s="1" t="s">
        <v>272</v>
      </c>
      <c r="H14" s="4"/>
      <c r="I14" s="4" t="s">
        <v>920</v>
      </c>
      <c r="J14" s="1" t="s">
        <v>549</v>
      </c>
      <c r="K14" s="4"/>
      <c r="L14" s="4"/>
      <c r="M14" s="4"/>
      <c r="N14" s="4"/>
      <c r="O14" s="4"/>
      <c r="P14" s="4"/>
      <c r="Q14" s="4"/>
      <c r="R14" s="4"/>
      <c r="S14" s="18" t="s">
        <v>892</v>
      </c>
      <c r="T14" s="18" t="s">
        <v>892</v>
      </c>
      <c r="U14" s="18" t="s">
        <v>892</v>
      </c>
      <c r="V14" s="18" t="s">
        <v>892</v>
      </c>
      <c r="W14" s="18" t="s">
        <v>892</v>
      </c>
    </row>
    <row r="15" spans="1:23" ht="43.5" x14ac:dyDescent="0.35">
      <c r="A15" s="4" t="s">
        <v>921</v>
      </c>
      <c r="B15" s="7" t="s">
        <v>886</v>
      </c>
      <c r="C15" s="4" t="s">
        <v>580</v>
      </c>
      <c r="D15" s="8" t="s">
        <v>581</v>
      </c>
      <c r="E15" s="1" t="s">
        <v>915</v>
      </c>
      <c r="F15" s="4" t="s">
        <v>591</v>
      </c>
      <c r="G15" s="1" t="s">
        <v>922</v>
      </c>
      <c r="H15" s="4"/>
      <c r="I15" s="4" t="s">
        <v>801</v>
      </c>
      <c r="J15" s="1" t="s">
        <v>549</v>
      </c>
      <c r="K15" s="4"/>
      <c r="L15" s="4"/>
      <c r="M15" s="4"/>
      <c r="N15" s="4"/>
      <c r="O15" s="4"/>
      <c r="P15" s="4"/>
      <c r="Q15" s="4"/>
      <c r="R15" s="4"/>
      <c r="S15" s="18" t="s">
        <v>892</v>
      </c>
      <c r="T15" s="18" t="s">
        <v>892</v>
      </c>
      <c r="U15" s="18" t="s">
        <v>892</v>
      </c>
      <c r="V15" s="18" t="s">
        <v>892</v>
      </c>
      <c r="W15" s="18" t="s">
        <v>892</v>
      </c>
    </row>
    <row r="16" spans="1:23" ht="43.5" x14ac:dyDescent="0.35">
      <c r="A16" s="4" t="s">
        <v>923</v>
      </c>
      <c r="B16" s="7" t="s">
        <v>886</v>
      </c>
      <c r="C16" s="4" t="s">
        <v>580</v>
      </c>
      <c r="D16" s="8" t="s">
        <v>581</v>
      </c>
      <c r="E16" s="1" t="s">
        <v>915</v>
      </c>
      <c r="F16" s="4" t="s">
        <v>591</v>
      </c>
      <c r="G16" s="1" t="s">
        <v>362</v>
      </c>
      <c r="H16" s="4"/>
      <c r="I16" s="4" t="s">
        <v>363</v>
      </c>
      <c r="J16" s="1" t="s">
        <v>549</v>
      </c>
      <c r="K16" s="4"/>
      <c r="L16" s="4"/>
      <c r="M16" s="4"/>
      <c r="N16" s="4"/>
      <c r="O16" s="4"/>
      <c r="P16" s="4"/>
      <c r="Q16" s="4"/>
      <c r="R16" s="4"/>
      <c r="S16" s="18" t="s">
        <v>892</v>
      </c>
      <c r="T16" s="18" t="s">
        <v>892</v>
      </c>
      <c r="U16" s="18" t="s">
        <v>892</v>
      </c>
      <c r="V16" s="18" t="s">
        <v>892</v>
      </c>
      <c r="W16" s="18" t="s">
        <v>892</v>
      </c>
    </row>
    <row r="17" spans="1:23" ht="43.5" x14ac:dyDescent="0.35">
      <c r="A17" s="4" t="s">
        <v>924</v>
      </c>
      <c r="B17" s="7" t="s">
        <v>886</v>
      </c>
      <c r="C17" s="4" t="s">
        <v>580</v>
      </c>
      <c r="D17" s="8" t="s">
        <v>581</v>
      </c>
      <c r="E17" s="1" t="s">
        <v>915</v>
      </c>
      <c r="F17" s="4" t="s">
        <v>591</v>
      </c>
      <c r="G17" s="1" t="s">
        <v>276</v>
      </c>
      <c r="H17" s="4"/>
      <c r="I17" s="4" t="s">
        <v>277</v>
      </c>
      <c r="J17" s="1" t="s">
        <v>549</v>
      </c>
      <c r="K17" s="4"/>
      <c r="L17" s="4"/>
      <c r="M17" s="4"/>
      <c r="N17" s="4"/>
      <c r="O17" s="4"/>
      <c r="P17" s="4"/>
      <c r="Q17" s="4"/>
      <c r="R17" s="4"/>
      <c r="S17" s="18" t="s">
        <v>892</v>
      </c>
      <c r="T17" s="18" t="s">
        <v>892</v>
      </c>
      <c r="U17" s="18" t="s">
        <v>892</v>
      </c>
      <c r="V17" s="18" t="s">
        <v>892</v>
      </c>
      <c r="W17" s="18" t="s">
        <v>892</v>
      </c>
    </row>
    <row r="18" spans="1:23" ht="43.5" x14ac:dyDescent="0.35">
      <c r="A18" s="4" t="s">
        <v>925</v>
      </c>
      <c r="B18" s="7" t="s">
        <v>886</v>
      </c>
      <c r="C18" s="4" t="s">
        <v>580</v>
      </c>
      <c r="D18" s="8" t="s">
        <v>581</v>
      </c>
      <c r="E18" s="1" t="s">
        <v>915</v>
      </c>
      <c r="F18" s="4" t="s">
        <v>595</v>
      </c>
      <c r="G18" s="1" t="s">
        <v>926</v>
      </c>
      <c r="H18" s="4" t="s">
        <v>369</v>
      </c>
      <c r="I18" s="4" t="s">
        <v>336</v>
      </c>
      <c r="J18" s="1" t="s">
        <v>549</v>
      </c>
      <c r="K18" s="4"/>
      <c r="L18" s="4"/>
      <c r="M18" s="4"/>
      <c r="N18" s="4"/>
      <c r="O18" s="4"/>
      <c r="P18" s="4"/>
      <c r="Q18" s="4"/>
      <c r="R18" s="4"/>
      <c r="S18" s="18" t="s">
        <v>892</v>
      </c>
      <c r="T18" s="18" t="s">
        <v>892</v>
      </c>
      <c r="U18" s="18" t="s">
        <v>892</v>
      </c>
      <c r="V18" s="18" t="s">
        <v>892</v>
      </c>
      <c r="W18" s="18" t="s">
        <v>892</v>
      </c>
    </row>
    <row r="19" spans="1:23" ht="409.15" customHeight="1" x14ac:dyDescent="0.35">
      <c r="A19" s="4" t="s">
        <v>927</v>
      </c>
      <c r="B19" s="7" t="s">
        <v>886</v>
      </c>
      <c r="C19" s="4" t="s">
        <v>580</v>
      </c>
      <c r="D19" s="8" t="s">
        <v>581</v>
      </c>
      <c r="E19" s="13" t="s">
        <v>928</v>
      </c>
      <c r="F19" s="4"/>
      <c r="G19" s="1"/>
      <c r="H19" s="4" t="s">
        <v>809</v>
      </c>
      <c r="I19" s="4"/>
      <c r="J19" s="1"/>
      <c r="K19" s="4"/>
      <c r="L19" s="4"/>
      <c r="M19" s="4"/>
      <c r="N19" s="4"/>
      <c r="O19" s="4"/>
      <c r="P19" s="4"/>
      <c r="Q19" s="4"/>
      <c r="R19" s="4"/>
      <c r="S19" s="18" t="s">
        <v>929</v>
      </c>
      <c r="T19" s="18" t="s">
        <v>892</v>
      </c>
      <c r="U19" s="18" t="s">
        <v>892</v>
      </c>
      <c r="V19" s="18" t="s">
        <v>892</v>
      </c>
      <c r="W19" s="17" t="s">
        <v>892</v>
      </c>
    </row>
    <row r="20" spans="1:23" ht="76.5" customHeight="1" x14ac:dyDescent="0.35">
      <c r="A20" s="4" t="s">
        <v>930</v>
      </c>
      <c r="B20" s="7" t="s">
        <v>886</v>
      </c>
      <c r="C20" s="4" t="s">
        <v>580</v>
      </c>
      <c r="D20" s="8" t="s">
        <v>581</v>
      </c>
      <c r="E20" s="1" t="s">
        <v>928</v>
      </c>
      <c r="F20" s="4" t="s">
        <v>591</v>
      </c>
      <c r="G20" s="1" t="s">
        <v>931</v>
      </c>
      <c r="H20" s="4"/>
      <c r="I20" s="4" t="s">
        <v>374</v>
      </c>
      <c r="J20" s="1" t="s">
        <v>549</v>
      </c>
      <c r="K20" s="4"/>
      <c r="L20" s="4"/>
      <c r="M20" s="4"/>
      <c r="N20" s="4"/>
      <c r="O20" s="4"/>
      <c r="P20" s="4"/>
      <c r="Q20" s="4"/>
      <c r="R20" s="4"/>
      <c r="S20" s="18" t="s">
        <v>892</v>
      </c>
      <c r="T20" s="18" t="s">
        <v>892</v>
      </c>
      <c r="U20" s="18" t="s">
        <v>892</v>
      </c>
      <c r="V20" s="18" t="s">
        <v>892</v>
      </c>
      <c r="W20" s="17" t="s">
        <v>892</v>
      </c>
    </row>
    <row r="21" spans="1:23" ht="58" x14ac:dyDescent="0.35">
      <c r="A21" s="4" t="s">
        <v>932</v>
      </c>
      <c r="B21" s="7" t="s">
        <v>886</v>
      </c>
      <c r="C21" s="4" t="s">
        <v>580</v>
      </c>
      <c r="D21" s="8" t="s">
        <v>581</v>
      </c>
      <c r="E21" s="1" t="s">
        <v>928</v>
      </c>
      <c r="F21" s="4" t="s">
        <v>591</v>
      </c>
      <c r="G21" s="1" t="s">
        <v>933</v>
      </c>
      <c r="H21" s="4"/>
      <c r="I21" s="4" t="s">
        <v>374</v>
      </c>
      <c r="J21" s="1" t="s">
        <v>549</v>
      </c>
      <c r="K21" s="4"/>
      <c r="L21" s="4"/>
      <c r="M21" s="4"/>
      <c r="N21" s="4"/>
      <c r="O21" s="4"/>
      <c r="P21" s="4"/>
      <c r="Q21" s="4"/>
      <c r="R21" s="4"/>
      <c r="S21" s="18" t="s">
        <v>892</v>
      </c>
      <c r="T21" s="18" t="s">
        <v>892</v>
      </c>
      <c r="U21" s="18" t="s">
        <v>892</v>
      </c>
      <c r="V21" s="18" t="s">
        <v>892</v>
      </c>
      <c r="W21" s="17" t="s">
        <v>892</v>
      </c>
    </row>
    <row r="22" spans="1:23" ht="43.5" x14ac:dyDescent="0.35">
      <c r="A22" s="4" t="s">
        <v>934</v>
      </c>
      <c r="B22" s="7" t="s">
        <v>886</v>
      </c>
      <c r="C22" s="4" t="s">
        <v>580</v>
      </c>
      <c r="D22" s="8" t="s">
        <v>581</v>
      </c>
      <c r="E22" s="1" t="s">
        <v>928</v>
      </c>
      <c r="F22" s="4" t="s">
        <v>591</v>
      </c>
      <c r="G22" s="1" t="s">
        <v>935</v>
      </c>
      <c r="H22" s="4"/>
      <c r="I22" s="4" t="s">
        <v>381</v>
      </c>
      <c r="J22" s="1" t="s">
        <v>549</v>
      </c>
      <c r="K22" s="4"/>
      <c r="L22" s="4"/>
      <c r="M22" s="4"/>
      <c r="N22" s="4"/>
      <c r="O22" s="4"/>
      <c r="P22" s="4"/>
      <c r="Q22" s="4"/>
      <c r="R22" s="4"/>
      <c r="S22" s="18" t="s">
        <v>892</v>
      </c>
      <c r="T22" s="18" t="s">
        <v>892</v>
      </c>
      <c r="U22" s="18" t="s">
        <v>892</v>
      </c>
      <c r="V22" s="18" t="s">
        <v>892</v>
      </c>
      <c r="W22" s="17" t="s">
        <v>892</v>
      </c>
    </row>
    <row r="23" spans="1:23" ht="43.5" x14ac:dyDescent="0.35">
      <c r="A23" s="4" t="s">
        <v>936</v>
      </c>
      <c r="B23" s="7" t="s">
        <v>886</v>
      </c>
      <c r="C23" s="4" t="s">
        <v>580</v>
      </c>
      <c r="D23" s="8" t="s">
        <v>581</v>
      </c>
      <c r="E23" s="1" t="s">
        <v>928</v>
      </c>
      <c r="F23" s="4" t="s">
        <v>601</v>
      </c>
      <c r="G23" s="1" t="s">
        <v>937</v>
      </c>
      <c r="H23" s="4"/>
      <c r="I23" s="4" t="s">
        <v>371</v>
      </c>
      <c r="J23" s="1" t="s">
        <v>549</v>
      </c>
      <c r="K23" s="4"/>
      <c r="L23" s="4"/>
      <c r="M23" s="4"/>
      <c r="N23" s="4"/>
      <c r="O23" s="4"/>
      <c r="P23" s="4"/>
      <c r="Q23" s="4"/>
      <c r="R23" s="4"/>
      <c r="S23" s="18" t="s">
        <v>892</v>
      </c>
      <c r="T23" s="18" t="s">
        <v>892</v>
      </c>
      <c r="U23" s="18" t="s">
        <v>892</v>
      </c>
      <c r="V23" s="18" t="s">
        <v>892</v>
      </c>
      <c r="W23" s="17" t="s">
        <v>892</v>
      </c>
    </row>
    <row r="24" spans="1:23" ht="43.5" x14ac:dyDescent="0.35">
      <c r="A24" s="4" t="s">
        <v>938</v>
      </c>
      <c r="B24" s="7" t="s">
        <v>886</v>
      </c>
      <c r="C24" s="4" t="s">
        <v>580</v>
      </c>
      <c r="D24" s="8" t="s">
        <v>581</v>
      </c>
      <c r="E24" s="1" t="s">
        <v>928</v>
      </c>
      <c r="F24" s="4" t="s">
        <v>591</v>
      </c>
      <c r="G24" s="1" t="s">
        <v>386</v>
      </c>
      <c r="H24" s="4"/>
      <c r="I24" s="21" t="s">
        <v>387</v>
      </c>
      <c r="J24" s="1" t="s">
        <v>549</v>
      </c>
      <c r="K24" s="4"/>
      <c r="L24" s="4"/>
      <c r="M24" s="4"/>
      <c r="N24" s="4"/>
      <c r="O24" s="4"/>
      <c r="P24" s="4"/>
      <c r="Q24" s="4"/>
      <c r="R24" s="4"/>
      <c r="S24" s="18" t="s">
        <v>892</v>
      </c>
      <c r="T24" s="18" t="s">
        <v>892</v>
      </c>
      <c r="U24" s="18" t="s">
        <v>892</v>
      </c>
      <c r="V24" s="18" t="s">
        <v>892</v>
      </c>
      <c r="W24" s="17" t="s">
        <v>892</v>
      </c>
    </row>
    <row r="25" spans="1:23" ht="43.5" x14ac:dyDescent="0.35">
      <c r="A25" s="4" t="s">
        <v>939</v>
      </c>
      <c r="B25" s="7" t="s">
        <v>886</v>
      </c>
      <c r="C25" s="4" t="s">
        <v>580</v>
      </c>
      <c r="D25" s="8" t="s">
        <v>581</v>
      </c>
      <c r="E25" s="1" t="s">
        <v>928</v>
      </c>
      <c r="F25" s="4" t="s">
        <v>591</v>
      </c>
      <c r="G25" s="1" t="s">
        <v>390</v>
      </c>
      <c r="H25" s="4"/>
      <c r="I25" s="4" t="s">
        <v>391</v>
      </c>
      <c r="J25" s="1" t="s">
        <v>549</v>
      </c>
      <c r="K25" s="4"/>
      <c r="L25" s="4"/>
      <c r="M25" s="4"/>
      <c r="N25" s="4"/>
      <c r="O25" s="4"/>
      <c r="P25" s="4"/>
      <c r="Q25" s="4"/>
      <c r="R25" s="4"/>
      <c r="S25" s="18" t="s">
        <v>892</v>
      </c>
      <c r="T25" s="18" t="s">
        <v>892</v>
      </c>
      <c r="U25" s="18" t="s">
        <v>892</v>
      </c>
      <c r="V25" s="18" t="s">
        <v>892</v>
      </c>
      <c r="W25" s="17" t="s">
        <v>892</v>
      </c>
    </row>
    <row r="26" spans="1:23" ht="409.5" x14ac:dyDescent="0.35">
      <c r="A26" s="4" t="s">
        <v>940</v>
      </c>
      <c r="B26" s="7" t="s">
        <v>886</v>
      </c>
      <c r="C26" s="4" t="s">
        <v>580</v>
      </c>
      <c r="D26" s="8" t="s">
        <v>581</v>
      </c>
      <c r="E26" s="13" t="s">
        <v>941</v>
      </c>
      <c r="F26" s="4"/>
      <c r="G26" s="1"/>
      <c r="H26" s="1" t="s">
        <v>814</v>
      </c>
      <c r="I26" s="4"/>
      <c r="J26" s="1"/>
      <c r="K26" s="4"/>
      <c r="L26" s="4"/>
      <c r="M26" s="4"/>
      <c r="N26" s="4"/>
      <c r="O26" s="4"/>
      <c r="P26" s="4"/>
      <c r="Q26" s="4"/>
      <c r="R26" s="4"/>
      <c r="S26" s="18" t="s">
        <v>942</v>
      </c>
      <c r="T26" s="18" t="s">
        <v>892</v>
      </c>
      <c r="U26" s="18" t="s">
        <v>892</v>
      </c>
      <c r="V26" s="18" t="s">
        <v>892</v>
      </c>
      <c r="W26" s="18" t="s">
        <v>943</v>
      </c>
    </row>
    <row r="27" spans="1:23" ht="43.5" x14ac:dyDescent="0.35">
      <c r="A27" s="4" t="s">
        <v>944</v>
      </c>
      <c r="B27" s="7" t="s">
        <v>886</v>
      </c>
      <c r="C27" s="4" t="s">
        <v>580</v>
      </c>
      <c r="D27" s="8" t="s">
        <v>581</v>
      </c>
      <c r="E27" s="1" t="s">
        <v>941</v>
      </c>
      <c r="F27" s="4" t="s">
        <v>601</v>
      </c>
      <c r="G27" s="1" t="s">
        <v>815</v>
      </c>
      <c r="H27" s="4"/>
      <c r="I27" s="4" t="s">
        <v>197</v>
      </c>
      <c r="J27" s="1" t="s">
        <v>549</v>
      </c>
      <c r="K27" s="4"/>
      <c r="L27" s="4"/>
      <c r="M27" s="4"/>
      <c r="N27" s="4"/>
      <c r="O27" s="4"/>
      <c r="P27" s="4"/>
      <c r="Q27" s="4"/>
      <c r="R27" s="4"/>
      <c r="S27" s="18" t="s">
        <v>892</v>
      </c>
      <c r="T27" s="18" t="s">
        <v>892</v>
      </c>
      <c r="U27" s="18" t="s">
        <v>892</v>
      </c>
      <c r="V27" s="18" t="s">
        <v>892</v>
      </c>
      <c r="W27" s="18" t="s">
        <v>892</v>
      </c>
    </row>
    <row r="28" spans="1:23" ht="43.5" x14ac:dyDescent="0.35">
      <c r="A28" s="4" t="s">
        <v>945</v>
      </c>
      <c r="B28" s="7" t="s">
        <v>886</v>
      </c>
      <c r="C28" s="4" t="s">
        <v>580</v>
      </c>
      <c r="D28" s="8" t="s">
        <v>581</v>
      </c>
      <c r="E28" s="1" t="s">
        <v>941</v>
      </c>
      <c r="F28" s="4" t="s">
        <v>595</v>
      </c>
      <c r="G28" s="1" t="s">
        <v>818</v>
      </c>
      <c r="H28" s="4"/>
      <c r="I28" s="4" t="s">
        <v>819</v>
      </c>
      <c r="J28" s="1" t="s">
        <v>549</v>
      </c>
      <c r="K28" s="4"/>
      <c r="L28" s="4"/>
      <c r="M28" s="4"/>
      <c r="N28" s="4"/>
      <c r="O28" s="4"/>
      <c r="P28" s="4"/>
      <c r="Q28" s="4"/>
      <c r="R28" s="4"/>
      <c r="S28" s="18" t="s">
        <v>892</v>
      </c>
      <c r="T28" s="18" t="s">
        <v>892</v>
      </c>
      <c r="U28" s="18" t="s">
        <v>892</v>
      </c>
      <c r="V28" s="18" t="s">
        <v>892</v>
      </c>
      <c r="W28" s="18" t="s">
        <v>892</v>
      </c>
    </row>
    <row r="29" spans="1:23" ht="48.65" customHeight="1" x14ac:dyDescent="0.35">
      <c r="A29" s="4" t="s">
        <v>946</v>
      </c>
      <c r="B29" s="7" t="s">
        <v>886</v>
      </c>
      <c r="C29" s="4" t="s">
        <v>580</v>
      </c>
      <c r="D29" s="8" t="s">
        <v>581</v>
      </c>
      <c r="E29" s="1" t="s">
        <v>941</v>
      </c>
      <c r="F29" s="4" t="s">
        <v>595</v>
      </c>
      <c r="G29" s="1" t="s">
        <v>947</v>
      </c>
      <c r="H29" s="4"/>
      <c r="I29" s="4" t="s">
        <v>822</v>
      </c>
      <c r="J29" s="1" t="s">
        <v>549</v>
      </c>
      <c r="K29" s="4"/>
      <c r="L29" s="4"/>
      <c r="M29" s="4"/>
      <c r="N29" s="4"/>
      <c r="O29" s="4"/>
      <c r="P29" s="4"/>
      <c r="Q29" s="4"/>
      <c r="R29" s="4"/>
      <c r="S29" s="18" t="s">
        <v>892</v>
      </c>
      <c r="T29" s="18" t="s">
        <v>892</v>
      </c>
      <c r="U29" s="18" t="s">
        <v>892</v>
      </c>
      <c r="V29" s="18" t="s">
        <v>892</v>
      </c>
      <c r="W29" s="18" t="s">
        <v>892</v>
      </c>
    </row>
    <row r="30" spans="1:23" ht="59.65" customHeight="1" x14ac:dyDescent="0.35">
      <c r="A30" s="4" t="s">
        <v>948</v>
      </c>
      <c r="B30" s="7" t="s">
        <v>886</v>
      </c>
      <c r="C30" s="4" t="s">
        <v>580</v>
      </c>
      <c r="D30" s="8" t="s">
        <v>581</v>
      </c>
      <c r="E30" s="1" t="s">
        <v>941</v>
      </c>
      <c r="F30" s="4" t="s">
        <v>601</v>
      </c>
      <c r="G30" s="1" t="s">
        <v>949</v>
      </c>
      <c r="H30" s="4"/>
      <c r="I30" s="4" t="s">
        <v>806</v>
      </c>
      <c r="J30" s="1" t="s">
        <v>549</v>
      </c>
      <c r="K30" s="4"/>
      <c r="L30" s="4"/>
      <c r="M30" s="4"/>
      <c r="N30" s="4"/>
      <c r="O30" s="4"/>
      <c r="P30" s="4"/>
      <c r="Q30" s="4"/>
      <c r="R30" s="4"/>
      <c r="S30" s="18" t="s">
        <v>892</v>
      </c>
      <c r="T30" s="18" t="s">
        <v>892</v>
      </c>
      <c r="U30" s="18" t="s">
        <v>892</v>
      </c>
      <c r="V30" s="18" t="s">
        <v>892</v>
      </c>
      <c r="W30" s="18" t="s">
        <v>892</v>
      </c>
    </row>
    <row r="31" spans="1:23" ht="43.5" x14ac:dyDescent="0.35">
      <c r="A31" s="4" t="s">
        <v>950</v>
      </c>
      <c r="B31" s="7" t="s">
        <v>886</v>
      </c>
      <c r="C31" s="4" t="s">
        <v>580</v>
      </c>
      <c r="D31" s="8" t="s">
        <v>581</v>
      </c>
      <c r="E31" s="1" t="s">
        <v>951</v>
      </c>
      <c r="F31" s="4" t="s">
        <v>952</v>
      </c>
      <c r="G31" s="4" t="s">
        <v>953</v>
      </c>
      <c r="H31" s="4"/>
      <c r="I31" s="4" t="s">
        <v>954</v>
      </c>
      <c r="J31" s="4"/>
      <c r="K31" s="4"/>
      <c r="L31" s="4"/>
      <c r="M31" s="4"/>
      <c r="N31" s="4"/>
      <c r="O31" s="4"/>
      <c r="P31" s="4"/>
      <c r="Q31" s="4"/>
      <c r="R31" s="4"/>
      <c r="S31" s="18" t="s">
        <v>955</v>
      </c>
      <c r="T31" s="18" t="s">
        <v>892</v>
      </c>
      <c r="U31" s="18" t="s">
        <v>892</v>
      </c>
      <c r="V31" s="18" t="s">
        <v>892</v>
      </c>
      <c r="W31" s="18" t="s">
        <v>892</v>
      </c>
    </row>
    <row r="32" spans="1:23" ht="130.5" x14ac:dyDescent="0.35">
      <c r="A32" s="4" t="s">
        <v>956</v>
      </c>
      <c r="B32" s="7" t="s">
        <v>886</v>
      </c>
      <c r="C32" s="4" t="s">
        <v>580</v>
      </c>
      <c r="D32" s="8" t="s">
        <v>581</v>
      </c>
      <c r="E32" s="1" t="s">
        <v>957</v>
      </c>
      <c r="F32" s="4" t="s">
        <v>958</v>
      </c>
      <c r="G32" s="4" t="s">
        <v>959</v>
      </c>
      <c r="H32" s="4"/>
      <c r="I32" s="4" t="s">
        <v>960</v>
      </c>
      <c r="J32" s="4"/>
      <c r="K32" s="4"/>
      <c r="L32" s="4"/>
      <c r="M32" s="4"/>
      <c r="N32" s="4"/>
      <c r="O32" s="4"/>
      <c r="P32" s="4"/>
      <c r="Q32" s="4"/>
      <c r="R32" s="4"/>
      <c r="S32" s="18" t="s">
        <v>892</v>
      </c>
      <c r="T32" s="18" t="s">
        <v>892</v>
      </c>
      <c r="U32" s="18" t="s">
        <v>892</v>
      </c>
      <c r="V32" s="18" t="s">
        <v>961</v>
      </c>
      <c r="W32" s="18" t="s">
        <v>892</v>
      </c>
    </row>
  </sheetData>
  <autoFilter ref="B2:R2" xr:uid="{0CF272CD-F3F0-4F26-9266-09B249340805}"/>
  <mergeCells count="1">
    <mergeCell ref="S1:W1"/>
  </mergeCells>
  <dataValidations count="1">
    <dataValidation type="list" allowBlank="1" showInputMessage="1" showErrorMessage="1" sqref="C4:C5 C7:C32" xr:uid="{32C7D7DB-D1FA-4726-B4B8-5E248764F418}">
      <formula1>"S2C,P2R,I2P,WHT,other"</formula1>
    </dataValidation>
  </dataValidations>
  <pageMargins left="0.7" right="0.7" top="0.75" bottom="0.75" header="0.3" footer="0.3"/>
  <pageSetup orientation="portrait" r:id="rId1"/>
  <customProperties>
    <customPr name="_pios_id" r:id="rId2"/>
    <customPr name="Epm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7313ddf-ae2e-42e2-82d4-c89584ce8844">
      <UserInfo>
        <DisplayName>Sadlo, Edmund (RC-AT DI FIN LOG)</DisplayName>
        <AccountId>100</AccountId>
        <AccountType/>
      </UserInfo>
      <UserInfo>
        <DisplayName>Keipert, Sascha (DI CFO)</DisplayName>
        <AccountId>24</AccountId>
        <AccountType/>
      </UserInfo>
      <UserInfo>
        <DisplayName>de Groot, Ton (SI RSS REU BE OE)</DisplayName>
        <AccountId>25</AccountId>
        <AccountType/>
      </UserInfo>
      <UserInfo>
        <DisplayName>Heim, Walter (SMO NEE RC-CH CFO)</DisplayName>
        <AccountId>368</AccountId>
        <AccountType/>
      </UserInfo>
    </SharedWithUsers>
    <TaxCatchAll xmlns="56810815-8df0-4f10-8da7-34164765fbe3" xsi:nil="true"/>
    <lcf76f155ced4ddcb4097134ff3c332f xmlns="4697dd4f-b273-4ab7-9c5e-4ece0a0fe4fa">
      <Terms xmlns="http://schemas.microsoft.com/office/infopath/2007/PartnerControls"/>
    </lcf76f155ced4ddcb4097134ff3c332f>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D039245121655340AC16813AC5B6D7E4" ma:contentTypeVersion="15" ma:contentTypeDescription="Create a new document." ma:contentTypeScope="" ma:versionID="58424ed9589533d381ea9af47ab74575">
  <xsd:schema xmlns:xsd="http://www.w3.org/2001/XMLSchema" xmlns:xs="http://www.w3.org/2001/XMLSchema" xmlns:p="http://schemas.microsoft.com/office/2006/metadata/properties" xmlns:ns2="4697dd4f-b273-4ab7-9c5e-4ece0a0fe4fa" xmlns:ns3="b7313ddf-ae2e-42e2-82d4-c89584ce8844" xmlns:ns4="56810815-8df0-4f10-8da7-34164765fbe3" targetNamespace="http://schemas.microsoft.com/office/2006/metadata/properties" ma:root="true" ma:fieldsID="f220881482fe586d2d3e2016d9f4e2a8" ns2:_="" ns3:_="" ns4:_="">
    <xsd:import namespace="4697dd4f-b273-4ab7-9c5e-4ece0a0fe4fa"/>
    <xsd:import namespace="b7313ddf-ae2e-42e2-82d4-c89584ce8844"/>
    <xsd:import namespace="56810815-8df0-4f10-8da7-34164765fb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2:lcf76f155ced4ddcb4097134ff3c332f" minOccurs="0"/>
                <xsd:element ref="ns4: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97dd4f-b273-4ab7-9c5e-4ece0a0fe4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63edab7-d5f1-4c02-989a-0e8ed7c6c383"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313ddf-ae2e-42e2-82d4-c89584ce884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6810815-8df0-4f10-8da7-34164765fbe3"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73dbfdae-fdc0-4114-88d4-4800aae6cac1}" ma:internalName="TaxCatchAll" ma:showField="CatchAllData" ma:web="b7313ddf-ae2e-42e2-82d4-c89584ce88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052BC7-23DD-421F-AAC2-188620DA73ED}">
  <ds:schemaRefs>
    <ds:schemaRef ds:uri="b7313ddf-ae2e-42e2-82d4-c89584ce8844"/>
    <ds:schemaRef ds:uri="http://schemas.microsoft.com/office/2006/documentManagement/types"/>
    <ds:schemaRef ds:uri="http://purl.org/dc/dcmitype/"/>
    <ds:schemaRef ds:uri="http://purl.org/dc/elements/1.1/"/>
    <ds:schemaRef ds:uri="http://purl.org/dc/terms/"/>
    <ds:schemaRef ds:uri="http://schemas.microsoft.com/office/2006/metadata/properties"/>
    <ds:schemaRef ds:uri="http://schemas.openxmlformats.org/package/2006/metadata/core-properties"/>
    <ds:schemaRef ds:uri="http://schemas.microsoft.com/office/infopath/2007/PartnerControls"/>
    <ds:schemaRef ds:uri="56810815-8df0-4f10-8da7-34164765fbe3"/>
    <ds:schemaRef ds:uri="4697dd4f-b273-4ab7-9c5e-4ece0a0fe4fa"/>
    <ds:schemaRef ds:uri="http://www.w3.org/XML/1998/namespace"/>
  </ds:schemaRefs>
</ds:datastoreItem>
</file>

<file path=customXml/itemProps2.xml><?xml version="1.0" encoding="utf-8"?>
<ds:datastoreItem xmlns:ds="http://schemas.openxmlformats.org/officeDocument/2006/customXml" ds:itemID="{0DDACA60-EC83-4C2F-A640-868E18479FD0}">
  <ds:schemaRefs>
    <ds:schemaRef ds:uri="http://schemas.microsoft.com/sharepoint/v3/contenttype/forms"/>
  </ds:schemaRefs>
</ds:datastoreItem>
</file>

<file path=customXml/itemProps3.xml><?xml version="1.0" encoding="utf-8"?>
<ds:datastoreItem xmlns:ds="http://schemas.openxmlformats.org/officeDocument/2006/customXml" ds:itemID="{BDED71B8-CAF6-4CC2-875A-1C652876F6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97dd4f-b273-4ab7-9c5e-4ece0a0fe4fa"/>
    <ds:schemaRef ds:uri="b7313ddf-ae2e-42e2-82d4-c89584ce8844"/>
    <ds:schemaRef ds:uri="56810815-8df0-4f10-8da7-34164765fb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59b6cd5-d141-4a33-8bf1-0ca04484304f}" enabled="1" method="Standard" siteId="{38ae3bcd-9579-4fd4-adda-b42e1495d55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Overview</vt:lpstr>
      <vt:lpstr>Status</vt:lpstr>
      <vt:lpstr>Actions</vt:lpstr>
      <vt:lpstr>2.1</vt:lpstr>
      <vt:lpstr>2.2</vt:lpstr>
      <vt:lpstr>3.1</vt:lpstr>
      <vt:lpstr>3.2</vt:lpstr>
      <vt:lpstr>3.3</vt:lpstr>
      <vt:lpstr>4.1</vt:lpstr>
      <vt:lpstr>4.2</vt:lpstr>
      <vt:lpstr>5.3</vt:lpstr>
      <vt:lpstr>5.4</vt:lpstr>
      <vt:lpstr>6.5</vt:lpstr>
      <vt:lpstr>Z Fields</vt:lpstr>
      <vt:lpstr>PO Types</vt:lpstr>
      <vt:lpstr>Planning Overview</vt:lpstr>
      <vt:lpstr>Role Definition</vt:lpstr>
      <vt:lpstr>Parking_Lot</vt:lpstr>
      <vt:lpstr>P2P_Experts</vt:lpstr>
      <vt:lpstr>Temp_Supplier_Integration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 Ulrich</dc:creator>
  <cp:keywords/>
  <dc:description/>
  <cp:lastModifiedBy>Gautam, Ajit (IT ECP PLG P)</cp:lastModifiedBy>
  <cp:revision/>
  <dcterms:created xsi:type="dcterms:W3CDTF">2015-10-20T16:27:14Z</dcterms:created>
  <dcterms:modified xsi:type="dcterms:W3CDTF">2024-11-07T22:26:20Z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0x010100D039245121655340AC16813AC5B6D7E4</vt:lpwstr>
  </property>
  <property fmtid="{D5CDD505-2E9C-101B-9397-08002B2CF9AE}" pid="4" name="MSIP_Label_a59b6cd5-d141-4a33-8bf1-0ca04484304f_Enabled">
    <vt:lpwstr>true</vt:lpwstr>
  </property>
  <property fmtid="{D5CDD505-2E9C-101B-9397-08002B2CF9AE}" pid="5" name="MSIP_Label_a59b6cd5-d141-4a33-8bf1-0ca04484304f_SetDate">
    <vt:lpwstr>2021-07-15T05:33:34Z</vt:lpwstr>
  </property>
  <property fmtid="{D5CDD505-2E9C-101B-9397-08002B2CF9AE}" pid="6" name="MSIP_Label_a59b6cd5-d141-4a33-8bf1-0ca04484304f_Method">
    <vt:lpwstr>Standard</vt:lpwstr>
  </property>
  <property fmtid="{D5CDD505-2E9C-101B-9397-08002B2CF9AE}" pid="7" name="MSIP_Label_a59b6cd5-d141-4a33-8bf1-0ca04484304f_Name">
    <vt:lpwstr>restricted-default</vt:lpwstr>
  </property>
  <property fmtid="{D5CDD505-2E9C-101B-9397-08002B2CF9AE}" pid="8" name="MSIP_Label_a59b6cd5-d141-4a33-8bf1-0ca04484304f_SiteId">
    <vt:lpwstr>38ae3bcd-9579-4fd4-adda-b42e1495d55a</vt:lpwstr>
  </property>
  <property fmtid="{D5CDD505-2E9C-101B-9397-08002B2CF9AE}" pid="9" name="MSIP_Label_a59b6cd5-d141-4a33-8bf1-0ca04484304f_ActionId">
    <vt:lpwstr>7865222d-7ac6-4b40-ac02-c05cf5622eb1</vt:lpwstr>
  </property>
  <property fmtid="{D5CDD505-2E9C-101B-9397-08002B2CF9AE}" pid="10" name="MSIP_Label_a59b6cd5-d141-4a33-8bf1-0ca04484304f_ContentBits">
    <vt:lpwstr>0</vt:lpwstr>
  </property>
  <property fmtid="{D5CDD505-2E9C-101B-9397-08002B2CF9AE}" pid="11" name="Document_Confidentiality">
    <vt:lpwstr>Restricted</vt:lpwstr>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xd_Signature">
    <vt:bool>false</vt:bool>
  </property>
  <property fmtid="{D5CDD505-2E9C-101B-9397-08002B2CF9AE}" pid="18" name="SharedWithUsers">
    <vt:lpwstr>100;#Sadlo, Edmund (RC-AT DI FIN LOG);#24;#Keipert, Sascha (DI CFO);#25;#de Groot, Ton (SI RSS REU BE OE);#368;#Heim, Walter (SMO NEE RC-CH CFO)</vt:lpwstr>
  </property>
  <property fmtid="{D5CDD505-2E9C-101B-9397-08002B2CF9AE}" pid="19" name="Order">
    <vt:r8>1257100</vt:r8>
  </property>
  <property fmtid="{D5CDD505-2E9C-101B-9397-08002B2CF9AE}" pid="20" name="CofWorkbookId">
    <vt:lpwstr>c7923879-cdde-439a-8ed6-2c0070bdff46</vt:lpwstr>
  </property>
  <property fmtid="{D5CDD505-2E9C-101B-9397-08002B2CF9AE}" pid="21" name="MediaServiceImageTags">
    <vt:lpwstr/>
  </property>
</Properties>
</file>