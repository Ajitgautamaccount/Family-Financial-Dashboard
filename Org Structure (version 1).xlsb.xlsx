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202300"/>
  <mc:AlternateContent xmlns:mc="http://schemas.openxmlformats.org/markup-compatibility/2006">
    <mc:Choice Requires="x15">
      <x15ac:absPath xmlns:x15ac="http://schemas.microsoft.com/office/spreadsheetml/2010/11/ac" url="C:\Users\z0046d7w\Desktop\"/>
    </mc:Choice>
  </mc:AlternateContent>
  <xr:revisionPtr revIDLastSave="0" documentId="13_ncr:1_{BC62A750-CDA1-4BDC-A50A-A7857C07D612}" xr6:coauthVersionLast="47" xr6:coauthVersionMax="47" xr10:uidLastSave="{00000000-0000-0000-0000-000000000000}"/>
  <bookViews>
    <workbookView xWindow="-110" yWindow="-110" windowWidth="34620" windowHeight="13900" xr2:uid="{2C2976F6-EB5D-4F14-9A58-FE00B5A0AD55}"/>
  </bookViews>
  <sheets>
    <sheet name="Org Structure" sheetId="1" r:id="rId1"/>
    <sheet name="Rollout Activities " sheetId="22" r:id="rId2"/>
    <sheet name="RO Activities " sheetId="24" r:id="rId3"/>
    <sheet name="Sheet3" sheetId="21" r:id="rId4"/>
    <sheet name="Sheet5" sheetId="16" r:id="rId5"/>
    <sheet name="P.Groups" sheetId="9" r:id="rId6"/>
    <sheet name="GTS" sheetId="13" r:id="rId7"/>
    <sheet name="Features List" sheetId="10" r:id="rId8"/>
    <sheet name="Sheet7" sheetId="18" r:id="rId9"/>
    <sheet name="Process" sheetId="3" r:id="rId10"/>
    <sheet name="SRE Process Steps" sheetId="8" r:id="rId11"/>
    <sheet name="BTP Alignment" sheetId="5" r:id="rId12"/>
    <sheet name="Sheet1" sheetId="14" r:id="rId13"/>
    <sheet name="Sheet2" sheetId="2" r:id="rId14"/>
    <sheet name="Test Users" sheetId="11" r:id="rId15"/>
    <sheet name="Go-Live Data" sheetId="12" r:id="rId16"/>
    <sheet name="Technical Info" sheetId="20" r:id="rId17"/>
    <sheet name="PO Migration" sheetId="23" r:id="rId18"/>
  </sheets>
  <externalReferences>
    <externalReference r:id="rId19"/>
  </externalReferences>
  <definedNames>
    <definedName name="_xlnm._FilterDatabase" localSheetId="11" hidden="1">'BTP Alignment'!$A$1:$J$21</definedName>
    <definedName name="_xlnm._FilterDatabase" localSheetId="7" hidden="1">'Features List'!$A$1:$D$1</definedName>
    <definedName name="_xlnm._FilterDatabase" localSheetId="1" hidden="1">'Rollout Activities '!$A$2:$E$40</definedName>
    <definedName name="_polarion_12">OFFSET(_polarion_options_start,MATCH(CONCATENATE(_polarion_type,":","E2E Process / X-BT Workstream"),_polarion_options_types,0),1,COUNTIF(_polarion_options_types,CONCATENATE(_polarion_type,":","E2E Process / X-BT Workstream")),1)</definedName>
    <definedName name="_polarion_7">OFFSET(_polarion_options_start,MATCH(CONCATENATE(_polarion_type,":","Team"),_polarion_options_types,0),1,COUNTIF(_polarion_options_types,CONCATENATE(_polarion_type,":","Team")),1)</definedName>
    <definedName name="_polarion_info">[1]!WorkItems[[#This Row],[_polarion]]</definedName>
    <definedName name="_polarion_options_start">[1]!_polarion_options[[#Headers],[Type]]</definedName>
    <definedName name="_polarion_options_types">[1]!_polarion_options[Type]</definedName>
    <definedName name="_polarion_project">IF(ISBLANK(_polarion_info),"FitGap",LEFT(_polarion_info,SEARCH("/",_polarion_info,1)-1))</definedName>
    <definedName name="_polarion_type">CONCATENATE(_polarion_project,"/",IF(ISBLANK([1]!WorkItems[[#This Row],[Type]]),"AUN",[1]!WorkItems[[#This Row],[Type]]))</definedName>
  </definedNames>
  <calcPr calcId="191029"/>
  <pivotCaches>
    <pivotCache cacheId="486"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 r="G6" i="1"/>
  <c r="G7" i="1"/>
  <c r="G8" i="1"/>
  <c r="G9" i="1"/>
  <c r="G10" i="1"/>
  <c r="G11" i="1"/>
  <c r="G12" i="1"/>
  <c r="G13" i="1"/>
  <c r="G14" i="1"/>
  <c r="G15" i="1"/>
  <c r="G16" i="1"/>
  <c r="G17" i="1"/>
  <c r="G18" i="1"/>
  <c r="G20" i="1"/>
  <c r="G21" i="1"/>
  <c r="G22" i="1"/>
  <c r="G4" i="1"/>
</calcChain>
</file>

<file path=xl/sharedStrings.xml><?xml version="1.0" encoding="utf-8"?>
<sst xmlns="http://schemas.openxmlformats.org/spreadsheetml/2006/main" count="1859" uniqueCount="977">
  <si>
    <t xml:space="preserve">SRE Direct Org Structure </t>
  </si>
  <si>
    <t>Release</t>
  </si>
  <si>
    <t>Company Code</t>
  </si>
  <si>
    <t>Company Code Name</t>
  </si>
  <si>
    <t>City</t>
  </si>
  <si>
    <t xml:space="preserve">Country </t>
  </si>
  <si>
    <t>Plant Name</t>
  </si>
  <si>
    <t xml:space="preserve">Plant Address </t>
  </si>
  <si>
    <t xml:space="preserve">Purchasing Organization Name </t>
  </si>
  <si>
    <t>Remarks</t>
  </si>
  <si>
    <t>426Q</t>
  </si>
  <si>
    <t>SIB KG</t>
  </si>
  <si>
    <t>Grünwald</t>
  </si>
  <si>
    <t>DE</t>
  </si>
  <si>
    <t>C300</t>
  </si>
  <si>
    <t>Process Steps</t>
  </si>
  <si>
    <t>Functional Approval</t>
  </si>
  <si>
    <t>Commercial Approval</t>
  </si>
  <si>
    <t xml:space="preserve">Procurement Type </t>
  </si>
  <si>
    <t xml:space="preserve">Standard </t>
  </si>
  <si>
    <t xml:space="preserve">Service </t>
  </si>
  <si>
    <t>Identification of the requirement</t>
  </si>
  <si>
    <t>Create Purchase Requisition</t>
  </si>
  <si>
    <t>Approve/ Reject Purchase Requisition (Optional)</t>
  </si>
  <si>
    <t>Create follow-on documents (Contract, Purchase Order, etc.)</t>
  </si>
  <si>
    <t xml:space="preserve">Key Process Flow </t>
  </si>
  <si>
    <t>Create a purchase requisitions</t>
  </si>
  <si>
    <t>Search for an existing purchase requisitions</t>
  </si>
  <si>
    <t>Display a list of already existing purchase requisitions</t>
  </si>
  <si>
    <t>Copy an existing purchase requisition and modify it according to the requirement</t>
  </si>
  <si>
    <t>Assign source of supply in the purchase requisitions</t>
  </si>
  <si>
    <t>View the status of purchase requisitions</t>
  </si>
  <si>
    <t>View the approval details</t>
  </si>
  <si>
    <t>Display the History of the purchase requisitions to keep track of the document changes.</t>
  </si>
  <si>
    <t>Create, edit and display additional information to procurement team in the form of texts in the Notes.</t>
  </si>
  <si>
    <t>Display the process flow to see the steps that were already performed in the procurement process.</t>
  </si>
  <si>
    <t xml:space="preserve">Process Steps </t>
  </si>
  <si>
    <t>-</t>
  </si>
  <si>
    <t>Purchaser to Receive Notification after PR creation</t>
  </si>
  <si>
    <t>Expert to receive a notification email for PO approval</t>
  </si>
  <si>
    <t>Expert to send a PO rework request to the Purchaser</t>
  </si>
  <si>
    <t>Automatically check of the delivery date for the PO items</t>
  </si>
  <si>
    <t>The Requisitioner to receive a copy of the purchase order</t>
  </si>
  <si>
    <t>Check if the PO approver is an active user</t>
  </si>
  <si>
    <t>Requisitioner to receive a Notification for the rejected PO</t>
  </si>
  <si>
    <t>Highlight PO changes for approvers</t>
  </si>
  <si>
    <t>Approval workflow restarting condition</t>
  </si>
  <si>
    <t>Default Purchasing Group in Purchase Requisition</t>
  </si>
  <si>
    <t>Uncheck the Goods Receipt/Service Confirmation check-box by default</t>
  </si>
  <si>
    <t>Manually select the PO approvers in the purchase requisition</t>
  </si>
  <si>
    <t>Purchaser/Expert to send a PR rework request to the Requisitioner</t>
  </si>
  <si>
    <t>Requisitioner to receive a Notification for the rejected PR from the Exeprt</t>
  </si>
  <si>
    <t>Title</t>
  </si>
  <si>
    <t>Can BTP handle it ?</t>
  </si>
  <si>
    <t>Already available in BTP ?</t>
  </si>
  <si>
    <t>Workflow Relevant ?</t>
  </si>
  <si>
    <t>No</t>
  </si>
  <si>
    <t>Yes</t>
  </si>
  <si>
    <t>Notificaiton Relevant?</t>
  </si>
  <si>
    <t>PO Approvers determination (SAT)</t>
  </si>
  <si>
    <t>Create PR</t>
  </si>
  <si>
    <t>Sr.No.</t>
  </si>
  <si>
    <t xml:space="preserve">Make Requisitioner &amp; Recipient field as mandatory </t>
  </si>
  <si>
    <t>Release PR</t>
  </si>
  <si>
    <t>How much efforts are needed ?</t>
  </si>
  <si>
    <t>PO workflow</t>
  </si>
  <si>
    <t>PO send</t>
  </si>
  <si>
    <t>Change the PO printout form name for the limited item PO</t>
  </si>
  <si>
    <t>PR workflow</t>
  </si>
  <si>
    <t>Approval Notification</t>
  </si>
  <si>
    <t>PO form</t>
  </si>
  <si>
    <t xml:space="preserve">Requisitioner and Recipient field validation </t>
  </si>
  <si>
    <t xml:space="preserve">Can be extended </t>
  </si>
  <si>
    <t>only Notification is available</t>
  </si>
  <si>
    <t xml:space="preserve">BTP form can be extended </t>
  </si>
  <si>
    <t>Manually add an  adhoc (optional) reviewer to the PO</t>
  </si>
  <si>
    <t>Approver note comments</t>
  </si>
  <si>
    <t>WBS approvers not maintained at SAT</t>
  </si>
  <si>
    <t xml:space="preserve">Fallback approver can be consider, need to define and develop </t>
  </si>
  <si>
    <t>High</t>
  </si>
  <si>
    <t>Not mandatory for S4</t>
  </si>
  <si>
    <t xml:space="preserve">Not relevant </t>
  </si>
  <si>
    <t>Medium</t>
  </si>
  <si>
    <t>Do we really need this ?</t>
  </si>
  <si>
    <t>Purchaser to forward the PO to an Expert -Automatic step determination instead of forward</t>
  </si>
  <si>
    <t>Process needs to be defined and then c</t>
  </si>
  <si>
    <t>Not recommended, Need to check with SAT team if they can provide approver for WBS elements , if not available then fallback is must to have.</t>
  </si>
  <si>
    <t>Mandatory for 1410 ?</t>
  </si>
  <si>
    <t>442Q</t>
  </si>
  <si>
    <t>SMOREM KG​</t>
  </si>
  <si>
    <t>452C</t>
  </si>
  <si>
    <t>IPDG KG​</t>
  </si>
  <si>
    <t>523Q</t>
  </si>
  <si>
    <t>524Q</t>
  </si>
  <si>
    <t>561C</t>
  </si>
  <si>
    <t>573K</t>
  </si>
  <si>
    <t>SCE Objekt 3 KG​</t>
  </si>
  <si>
    <t>574K</t>
  </si>
  <si>
    <t>SCE Objekt 4 KG​</t>
  </si>
  <si>
    <t>575K</t>
  </si>
  <si>
    <t>SCE Objekt 5 KG​</t>
  </si>
  <si>
    <t>576K</t>
  </si>
  <si>
    <t>SCE Objekt 6 KG​</t>
  </si>
  <si>
    <t>577K</t>
  </si>
  <si>
    <t>SCE Objekt 7 KG​</t>
  </si>
  <si>
    <t>578K</t>
  </si>
  <si>
    <t>SCE Verwaltungs GmbH​</t>
  </si>
  <si>
    <t>579K</t>
  </si>
  <si>
    <t>SCE Grundstücks KG​</t>
  </si>
  <si>
    <t>580K</t>
  </si>
  <si>
    <t>SCE Objekt GmbH</t>
  </si>
  <si>
    <t>Berliner Vermögensverw</t>
  </si>
  <si>
    <t>Geisenhausener Entw. KG</t>
  </si>
  <si>
    <t>Moorenbrunn Entw. KG</t>
  </si>
  <si>
    <t>CAPTA Grst  Verw  GmbH</t>
  </si>
  <si>
    <t>82031, Grünwald</t>
  </si>
  <si>
    <t xml:space="preserve"> </t>
  </si>
  <si>
    <t>Process Step</t>
  </si>
  <si>
    <t>Role</t>
  </si>
  <si>
    <t>Details</t>
  </si>
  <si>
    <t>1. PR (S4)</t>
  </si>
  <si>
    <t>Create PR (NB/FO)</t>
  </si>
  <si>
    <t>Requisitioner/Creator</t>
  </si>
  <si>
    <t>Use the Fiori App to initiate a new Purchase Requisition. Navigate to the "Create Purchase Requisition" option and select the appropriate document type (NB for standard purchase requisition, FO for framework order).</t>
  </si>
  <si>
    <t>Add Details</t>
  </si>
  <si>
    <t>Specify Plant, ESN, Quantity, Price, Recipient, Requisitioner, Account Assignment details, P.Group, P.Org, Uncheck GR and non-valuated checkbox.</t>
  </si>
  <si>
    <t>Save the PR</t>
  </si>
  <si>
    <t>Review all entered details for accuracy. Click "Save" to store the Purchase Requisition in the system.</t>
  </si>
  <si>
    <t>Trigger Release Strategy</t>
  </si>
  <si>
    <t>System</t>
  </si>
  <si>
    <t>The system automatically triggers the release strategy for external send based on predefined criteria. This may include workflow initiation for approvals and notifications to relevant stakeholders.</t>
  </si>
  <si>
    <t>2. PR/PO (BTP)</t>
  </si>
  <si>
    <t>Assign Individual P.Group</t>
  </si>
  <si>
    <t>Functional Buyers</t>
  </si>
  <si>
    <t>Add/Verify Fields</t>
  </si>
  <si>
    <t>Verify that the recipient and requisitioner details are correct and complete.</t>
  </si>
  <si>
    <t>Assign Supplier</t>
  </si>
  <si>
    <t>Assign a supplier if one is not already specified. Ensure that the supplier meets all necessary criteria and compliance requirements.</t>
  </si>
  <si>
    <t>Verify Other PR Details</t>
  </si>
  <si>
    <t>Conduct a thorough review of all PR details, including quantity, price, account assignment, and delivery dates. Make any necessary adjustments to ensure accuracy and completeness.</t>
  </si>
  <si>
    <t>Approve the PR</t>
  </si>
  <si>
    <t>Approve the Purchase Requisition to move it to the next stage in the process. This may involve multiple levels of approval depending on the organization's policies.</t>
  </si>
  <si>
    <t>Automatic PO Creation</t>
  </si>
  <si>
    <t>The system can automatically create a Purchase Order from the approved PR. Alternatively, buyers can manually create a PO from the PR if required.</t>
  </si>
  <si>
    <t>Set Release Strategy</t>
  </si>
  <si>
    <t>Set the release strategy for the PO based on predefined rules and criteria. This ensures that the PO follows the correct approval workflow.</t>
  </si>
  <si>
    <t>Verify or Edit PO Details</t>
  </si>
  <si>
    <t>Expert</t>
  </si>
  <si>
    <t>An expert reviews the PO details for accuracy and completeness. Make any necessary edits to ensure that the PO meets all requirements and standards.</t>
  </si>
  <si>
    <t>Adhoc Approval (Optional for 1410)</t>
  </si>
  <si>
    <t>Adhoc Approver</t>
  </si>
  <si>
    <t>This step is optional and may be required for specific cases, such as high-value orders or special projects. The adhoc approver reviews and approves the PO as needed.</t>
  </si>
  <si>
    <t>SAT Approvers</t>
  </si>
  <si>
    <t>Functional approvers review the PO to ensure it meets functional requirements and specifications. This may include checking technical details, compliance with standards, and alignment with project goals.</t>
  </si>
  <si>
    <t>Commercial approvers review the PO to ensure it meets commercial terms and conditions. This includes verifying pricing, payment terms, and contractual obligations.</t>
  </si>
  <si>
    <t>Release the PO</t>
  </si>
  <si>
    <t>The system finalizes and releases the Purchase Order for processing. This includes updating the status in the system and notifying relevant stakeholders.</t>
  </si>
  <si>
    <t>3. PO (S4)</t>
  </si>
  <si>
    <t>Release PO</t>
  </si>
  <si>
    <t>The system releases the Purchase Order, making it official and ready for execution. This step may include final checks and validations.</t>
  </si>
  <si>
    <t>Send PO to Supplier</t>
  </si>
  <si>
    <t>The PO is sent to the supplier via the chosen method (Email, EDI, or Print). Ensure that the supplier receives the PO and acknowledges receipt.</t>
  </si>
  <si>
    <t>Define Criteria</t>
  </si>
  <si>
    <t>Define criteria for retriggering the workflow in BTP if there are changes to the PO. This may include changes in quantity, price, delivery dates, or other critical details.</t>
  </si>
  <si>
    <t>Control PO Send to Supplier</t>
  </si>
  <si>
    <t>Manage the process of sending the updated PO to the supplier. Ensure that any changes are communicated clearly and promptly to avoid confusion or delays.</t>
  </si>
  <si>
    <t>Individual Buyers</t>
  </si>
  <si>
    <t>Assign the individual purchasing group (IXX) to the PR for specific buyer handling. This ensures that the PR is routed to the correct buyer for further processing.</t>
  </si>
  <si>
    <t xml:space="preserve">SRE Direct Solution Design </t>
  </si>
  <si>
    <t xml:space="preserve">S'Ind.park Karlsr. </t>
  </si>
  <si>
    <t>Company ID</t>
  </si>
  <si>
    <t>C3</t>
  </si>
  <si>
    <t>Purchase Group</t>
  </si>
  <si>
    <t>Description</t>
  </si>
  <si>
    <t>Fax Number</t>
  </si>
  <si>
    <t xml:space="preserve">Telephone No. Pur.Group </t>
  </si>
  <si>
    <t>Telephone</t>
  </si>
  <si>
    <t xml:space="preserve">Extention </t>
  </si>
  <si>
    <t>E-mail address</t>
  </si>
  <si>
    <t>F01</t>
  </si>
  <si>
    <t>I01</t>
  </si>
  <si>
    <t>I02</t>
  </si>
  <si>
    <t>I03</t>
  </si>
  <si>
    <t>I04</t>
  </si>
  <si>
    <t>I05</t>
  </si>
  <si>
    <t>I06</t>
  </si>
  <si>
    <t>I07</t>
  </si>
  <si>
    <t>I08</t>
  </si>
  <si>
    <t>I09</t>
  </si>
  <si>
    <t>I10</t>
  </si>
  <si>
    <t>I11</t>
  </si>
  <si>
    <t>I12</t>
  </si>
  <si>
    <t>I13</t>
  </si>
  <si>
    <t>I14</t>
  </si>
  <si>
    <t>I15</t>
  </si>
  <si>
    <t>I16</t>
  </si>
  <si>
    <t>I17</t>
  </si>
  <si>
    <t>I18</t>
  </si>
  <si>
    <t xml:space="preserve">ARE </t>
  </si>
  <si>
    <t>Link</t>
  </si>
  <si>
    <t>I19</t>
  </si>
  <si>
    <t>I20</t>
  </si>
  <si>
    <t>Customs and Export Control:</t>
  </si>
  <si>
    <t>Buchungskreis – Company Code</t>
  </si>
  <si>
    <t>Werk - Plant</t>
  </si>
  <si>
    <t>Produktnummer – Material number</t>
  </si>
  <si>
    <t>Bruttogewicht – gross weight</t>
  </si>
  <si>
    <t>Nettogewicht – net weight</t>
  </si>
  <si>
    <t>Nettopreis – net price</t>
  </si>
  <si>
    <t>Bruttopreis – gross price</t>
  </si>
  <si>
    <t>Währung - currency</t>
  </si>
  <si>
    <t>Statistischer Wert – statistical price</t>
  </si>
  <si>
    <t>Incoterms</t>
  </si>
  <si>
    <t>Partnernummer (Vendor LF)</t>
  </si>
  <si>
    <t>Partner Function (Vendor LF)</t>
  </si>
  <si>
    <t>Country of Origin</t>
  </si>
  <si>
    <t xml:space="preserve">Menge – quantity </t>
  </si>
  <si>
    <t xml:space="preserve">Mengeneinheit – unit of measure </t>
  </si>
  <si>
    <t>HS-Code</t>
  </si>
  <si>
    <t>VAT</t>
  </si>
  <si>
    <t>ESN (Materialclassification)</t>
  </si>
  <si>
    <t>Delivery Adress</t>
  </si>
  <si>
    <t>VAT-ID-Nr.</t>
  </si>
  <si>
    <t xml:space="preserve">UNSPSC Code </t>
  </si>
  <si>
    <t>Customer / Supplier if additional information.</t>
  </si>
  <si>
    <t>Technical Field PR</t>
  </si>
  <si>
    <t>Technical Field PO</t>
  </si>
  <si>
    <r>
      <t>Green</t>
    </r>
    <r>
      <rPr>
        <sz val="10"/>
        <color theme="1"/>
        <rFont val="Arial"/>
        <family val="2"/>
      </rPr>
      <t>: Already available</t>
    </r>
  </si>
  <si>
    <r>
      <t>Yellow</t>
    </r>
    <r>
      <rPr>
        <sz val="10"/>
        <color theme="1"/>
        <rFont val="Arial"/>
        <family val="2"/>
      </rPr>
      <t>: To discuss what this information is exactly</t>
    </r>
  </si>
  <si>
    <r>
      <t>Red</t>
    </r>
    <r>
      <rPr>
        <sz val="10"/>
        <color theme="1"/>
        <rFont val="Arial"/>
        <family val="2"/>
      </rPr>
      <t>:</t>
    </r>
    <r>
      <rPr>
        <sz val="10.5"/>
        <color rgb="FF242424"/>
        <rFont val="Segoe UI"/>
        <family val="2"/>
      </rPr>
      <t xml:space="preserve"> </t>
    </r>
    <r>
      <rPr>
        <sz val="10"/>
        <color theme="1"/>
        <rFont val="Arial"/>
        <family val="2"/>
      </rPr>
      <t>To discuss if this information is reasonable for the SRE business and truly necessary.</t>
    </r>
  </si>
  <si>
    <t>Available in PR ?</t>
  </si>
  <si>
    <t>GTS Relevant information</t>
  </si>
  <si>
    <t>GTS Topic</t>
  </si>
  <si>
    <t>Avaialble in PO ?</t>
  </si>
  <si>
    <t>Who will provide ?</t>
  </si>
  <si>
    <t>#</t>
  </si>
  <si>
    <t>Topic</t>
  </si>
  <si>
    <t>Action</t>
  </si>
  <si>
    <t>Reference Document</t>
  </si>
  <si>
    <t>Reference Document number</t>
  </si>
  <si>
    <t>Owner</t>
  </si>
  <si>
    <t>Status</t>
  </si>
  <si>
    <t>PO Message</t>
  </si>
  <si>
    <t>Check PO messages - Sent out message pending</t>
  </si>
  <si>
    <t>Sent out message</t>
  </si>
  <si>
    <t>Purchase Order</t>
  </si>
  <si>
    <t>Nazli</t>
  </si>
  <si>
    <t>Done</t>
  </si>
  <si>
    <t>PO Purchaser Action</t>
  </si>
  <si>
    <t>GBS approved but actions stuck in the BTP Inbox</t>
  </si>
  <si>
    <t>Delete action for all Purchaser</t>
  </si>
  <si>
    <t>Marco</t>
  </si>
  <si>
    <t>PO Approval Action</t>
  </si>
  <si>
    <t>Workaround for Functional approval used</t>
  </si>
  <si>
    <t>Delete action for all Functional Approver</t>
  </si>
  <si>
    <t>Asset Accountant Action</t>
  </si>
  <si>
    <t>Asset Accountant approved but 4 actions stuck in the BTP Inbox</t>
  </si>
  <si>
    <t>Delete 1 action for all Asset Accountants</t>
  </si>
  <si>
    <t>Delete all 4 actions for all Asset Accountants</t>
  </si>
  <si>
    <t>Payment Term take over in PO</t>
  </si>
  <si>
    <t>If Requisitioner is not providing a PT in Requisitioner step, Purchaser need to add on PO</t>
  </si>
  <si>
    <t>New BTP Story
- Always populate Pament Term and Incoterm from Business Partner Master in BTP Requisitioner form in case supplier is selected on Purchase Requisition 
- take over values to Supplier Selection and Decision Form (for FT Requisitions) to finally confirm based on supplier to be used (editable fields)
- take over PTs and ICs to Purchase Order after Requisitioner / Supplier Selection workflows approved on BTP form (available)
- fallback: Take always PT and IC from Business Partner as default value in Purchase Order</t>
  </si>
  <si>
    <t>Purchase Requisition / Purchase Order</t>
  </si>
  <si>
    <t>Pending</t>
  </si>
  <si>
    <r>
      <t xml:space="preserve">11.11. will be checked an retested from Marco
25.11. considered in BTP development activities
02.12. Marco: Still in analysis - root cause may have been found 
Story </t>
    </r>
    <r>
      <rPr>
        <b/>
        <sz val="11"/>
        <color theme="1"/>
        <rFont val="Aptos Narrow"/>
        <family val="2"/>
        <scheme val="minor"/>
      </rPr>
      <t>SX-100624 - SX_XBT_DEV_DIG_IND_Incorrect mapping of PTs and Incos (PROD Issue)</t>
    </r>
    <r>
      <rPr>
        <sz val="11"/>
        <color theme="1"/>
        <rFont val="Aptos Narrow"/>
        <family val="2"/>
        <scheme val="minor"/>
      </rPr>
      <t xml:space="preserve">
easy fix - fixed 12. or 19.12. with next release - after fixing no check by requester is needed anymore
Ticket INC41799958</t>
    </r>
  </si>
  <si>
    <t>Ordering Contact</t>
  </si>
  <si>
    <t>Ordering Contact not taken over into email communication field</t>
  </si>
  <si>
    <t>Verify increment deployed to PROD/ have it fixed accordingly</t>
  </si>
  <si>
    <t>Nazli/Ajit</t>
  </si>
  <si>
    <r>
      <rPr>
        <b/>
        <sz val="11"/>
        <color rgb="FF000000"/>
        <rFont val="Aptos Narrow"/>
        <family val="2"/>
      </rPr>
      <t>06.11.</t>
    </r>
    <r>
      <rPr>
        <sz val="11"/>
        <color rgb="FF000000"/>
        <rFont val="Aptos Narrow"/>
        <family val="2"/>
      </rPr>
      <t xml:space="preserve"> 6000121577 is created and assigned to development team
</t>
    </r>
    <r>
      <rPr>
        <b/>
        <sz val="11"/>
        <color rgb="FF000000"/>
        <rFont val="Aptos Narrow"/>
        <family val="2"/>
      </rPr>
      <t xml:space="preserve">13.11 : </t>
    </r>
    <r>
      <rPr>
        <sz val="11"/>
        <color rgb="FF000000"/>
        <rFont val="Aptos Narrow"/>
        <family val="2"/>
      </rPr>
      <t xml:space="preserve">Not received any  update , sent reminder today to jonas.schlak@siemens.com &amp; veronica.dumitrache@siemens.com
</t>
    </r>
    <r>
      <rPr>
        <b/>
        <sz val="11"/>
        <color rgb="FF000000"/>
        <rFont val="Aptos Narrow"/>
        <family val="2"/>
      </rPr>
      <t>14.11</t>
    </r>
    <r>
      <rPr>
        <sz val="11"/>
        <color rgb="FF000000"/>
        <rFont val="Aptos Narrow"/>
        <family val="2"/>
      </rPr>
      <t xml:space="preserve">: No update.    
</t>
    </r>
    <r>
      <rPr>
        <b/>
        <sz val="11"/>
        <color rgb="FF000000"/>
        <rFont val="Aptos Narrow"/>
        <family val="2"/>
      </rPr>
      <t>18.11</t>
    </r>
    <r>
      <rPr>
        <sz val="11"/>
        <color rgb="FF000000"/>
        <rFont val="Aptos Narrow"/>
        <family val="2"/>
      </rPr>
      <t xml:space="preserve">. Nazli will check with dev.team </t>
    </r>
    <r>
      <rPr>
        <sz val="11"/>
        <color rgb="FF000000"/>
        <rFont val="Aptos Narrow"/>
        <family val="2"/>
      </rPr>
      <t xml:space="preserve">
</t>
    </r>
    <r>
      <rPr>
        <b/>
        <sz val="11"/>
        <color rgb="FF000000"/>
        <rFont val="Aptos Narrow"/>
        <family val="2"/>
      </rPr>
      <t>19.11</t>
    </r>
    <r>
      <rPr>
        <sz val="11"/>
        <color rgb="FF000000"/>
        <rFont val="Aptos Narrow"/>
        <family val="2"/>
      </rPr>
      <t xml:space="preserve"> : No updated from Dev team.
</t>
    </r>
    <r>
      <rPr>
        <b/>
        <sz val="11"/>
        <color rgb="FF000000"/>
        <rFont val="Aptos Narrow"/>
        <family val="2"/>
      </rPr>
      <t xml:space="preserve">20.11:  </t>
    </r>
    <r>
      <rPr>
        <sz val="11"/>
        <color rgb="FF000000"/>
        <rFont val="Aptos Narrow"/>
        <family val="2"/>
      </rPr>
      <t xml:space="preserve">No update from dev team, following it up with ABAp team.
21.11. no update
</t>
    </r>
    <r>
      <rPr>
        <b/>
        <sz val="11"/>
        <color rgb="FF000000"/>
        <rFont val="Aptos Narrow"/>
        <family val="2"/>
      </rPr>
      <t>22.11</t>
    </r>
    <r>
      <rPr>
        <sz val="11"/>
        <color rgb="FF000000"/>
        <rFont val="Aptos Narrow"/>
        <family val="2"/>
      </rPr>
      <t xml:space="preserve"> waiting for response from dev.team - transport question</t>
    </r>
  </si>
  <si>
    <t>OCI Punchout</t>
  </si>
  <si>
    <t>Once transferring back items to Purchase Requisition Professional app, only IFA number is replicated to Business Partner field</t>
  </si>
  <si>
    <t>Adjust mapping to PR field using IFA and External Business Partner field towards Supplier ID field on S4</t>
  </si>
  <si>
    <t>Purchase Requisition</t>
  </si>
  <si>
    <t xml:space="preserve">Ajit </t>
  </si>
  <si>
    <r>
      <rPr>
        <b/>
        <sz val="11"/>
        <color rgb="FF000000"/>
        <rFont val="Aptos Narrow"/>
        <family val="2"/>
      </rPr>
      <t xml:space="preserve">07.11 Feature created  </t>
    </r>
    <r>
      <rPr>
        <sz val="11"/>
        <color rgb="FF000000"/>
        <rFont val="Aptos Narrow"/>
        <family val="2"/>
      </rPr>
      <t xml:space="preserve">SX-91234 (Story SX-91313) SX_GF_P2P_P2R_OCI Punchout from S4 to myMall feature enhancement. </t>
    </r>
    <r>
      <rPr>
        <b/>
        <sz val="11"/>
        <color rgb="FF000000"/>
        <rFont val="Aptos Narrow"/>
        <family val="2"/>
      </rPr>
      <t xml:space="preserve">Planned for release 1322
13.11 :   </t>
    </r>
    <r>
      <rPr>
        <sz val="11"/>
        <color rgb="FF000000"/>
        <rFont val="Aptos Narrow"/>
        <family val="2"/>
      </rPr>
      <t xml:space="preserve">Development is done in T-line and tested successfully, it will move to U-Line accordingly., planned go live date 12.12,24.
</t>
    </r>
    <r>
      <rPr>
        <b/>
        <sz val="11"/>
        <color rgb="FF000000"/>
        <rFont val="Aptos Narrow"/>
        <family val="2"/>
      </rPr>
      <t>21.11 :</t>
    </r>
    <r>
      <rPr>
        <sz val="11"/>
        <color rgb="FF000000"/>
        <rFont val="Aptos Narrow"/>
        <family val="2"/>
      </rPr>
      <t xml:space="preserve"> Changes are available in U4Q, can be tested now.
22.11. release 1322 (12.12.)</t>
    </r>
  </si>
  <si>
    <t>myMall --&gt; S4 Direct Connect</t>
  </si>
  <si>
    <t>Technical setup of connection not finalized</t>
  </si>
  <si>
    <t>Drive activities with IT Partners</t>
  </si>
  <si>
    <t>Shopping Cart / Purchase Requisition</t>
  </si>
  <si>
    <t>Ajit / Sven</t>
  </si>
  <si>
    <t>PR Requisitioner Action</t>
  </si>
  <si>
    <t>PR created but no Workflow to Requisitioner sent</t>
  </si>
  <si>
    <t>Check why PO has not been created</t>
  </si>
  <si>
    <t>PO Functional Approval Workflow action</t>
  </si>
  <si>
    <t>Fix PO Functional Approval Workflow sent by BTP</t>
  </si>
  <si>
    <t>4500103949 </t>
  </si>
  <si>
    <t>PR creation</t>
  </si>
  <si>
    <t>check out button has to be displayed automatically</t>
  </si>
  <si>
    <t>Viktor</t>
  </si>
  <si>
    <t>Open</t>
  </si>
  <si>
    <r>
      <rPr>
        <sz val="11"/>
        <color rgb="FF000000"/>
        <rFont val="Aptos Narrow"/>
        <family val="2"/>
        <scheme val="minor"/>
      </rPr>
      <t xml:space="preserve">done - 07.11 technical myMall issue, solution each SC must be checked by myMall provider, please provide SC link to Viktor
</t>
    </r>
    <r>
      <rPr>
        <b/>
        <sz val="11"/>
        <color rgb="FF000000"/>
        <rFont val="Aptos Narrow"/>
        <family val="2"/>
        <scheme val="minor"/>
      </rPr>
      <t>11.11</t>
    </r>
    <r>
      <rPr>
        <sz val="11"/>
        <color rgb="FF000000"/>
        <rFont val="Aptos Narrow"/>
        <family val="2"/>
        <scheme val="minor"/>
      </rPr>
      <t xml:space="preserve">.- Mihai or Adrian requested to send the SC link towards Viktor
13.11. MyMall topic under investigatiion
18.11. still in review by WPS (tech.)
22.11. still with WPS
</t>
    </r>
  </si>
  <si>
    <t>PO creation</t>
  </si>
  <si>
    <t>attachments are transfered from MyMall to S4</t>
  </si>
  <si>
    <t>Default Tax Code in PO</t>
  </si>
  <si>
    <t xml:space="preserve">The tax code selected in PR is not reflected in PO and the tax code is auto selected in PO is V0 for all items </t>
  </si>
  <si>
    <t>check why the tax code is a fixed value in the PO</t>
  </si>
  <si>
    <t>Marco/Himadri</t>
  </si>
  <si>
    <t>11.11. will be checked an retested from Marco (sample from Sylvi will be provided for checking)</t>
  </si>
  <si>
    <t>Y005 output issue</t>
  </si>
  <si>
    <t>even if email cannot be generated, the Y005 status is listed as process successfully</t>
  </si>
  <si>
    <t>check why the output program is not updating the status to red</t>
  </si>
  <si>
    <t>Nazli/Himadri</t>
  </si>
  <si>
    <r>
      <rPr>
        <b/>
        <sz val="11"/>
        <color rgb="FF000000"/>
        <rFont val="Aptos Narrow"/>
        <family val="2"/>
        <scheme val="minor"/>
      </rPr>
      <t>07.11</t>
    </r>
    <r>
      <rPr>
        <sz val="11"/>
        <color rgb="FF000000"/>
        <rFont val="Aptos Narrow"/>
        <family val="2"/>
        <scheme val="minor"/>
      </rPr>
      <t xml:space="preserve"> 6000121680 is created ans assigned to development team related to PO 4500104389.</t>
    </r>
    <r>
      <rPr>
        <b/>
        <sz val="11"/>
        <color rgb="FF000000"/>
        <rFont val="Aptos Narrow"/>
        <family val="2"/>
        <scheme val="minor"/>
      </rPr>
      <t xml:space="preserve">                                                                           
13.11 : </t>
    </r>
    <r>
      <rPr>
        <sz val="11"/>
        <color rgb="FF000000"/>
        <rFont val="Aptos Narrow"/>
        <family val="2"/>
        <scheme val="minor"/>
      </rPr>
      <t xml:space="preserve">Not received any  update , sent reminder to Alexander flor.
</t>
    </r>
    <r>
      <rPr>
        <b/>
        <sz val="11"/>
        <color rgb="FF000000"/>
        <rFont val="Aptos Narrow"/>
        <family val="2"/>
        <scheme val="minor"/>
      </rPr>
      <t>14.11:</t>
    </r>
    <r>
      <rPr>
        <sz val="11"/>
        <color rgb="FF000000"/>
        <rFont val="Aptos Narrow"/>
        <family val="2"/>
        <scheme val="minor"/>
      </rPr>
      <t xml:space="preserve"> Correct settings should be Medium=6 and Partner function = LS, example in column J
If required we couls also use partner type = VN, but, the partner profile settings and PI/PO would have to be set accordingly.
</t>
    </r>
    <r>
      <rPr>
        <b/>
        <sz val="11"/>
        <color rgb="FF000000"/>
        <rFont val="Aptos Narrow"/>
        <family val="2"/>
        <scheme val="minor"/>
      </rPr>
      <t>15.11 :</t>
    </r>
    <r>
      <rPr>
        <sz val="11"/>
        <color rgb="FF000000"/>
        <rFont val="Aptos Narrow"/>
        <family val="2"/>
        <scheme val="minor"/>
      </rPr>
      <t xml:space="preserve"> Please try to retrigger the PO output with external send and VN again.
</t>
    </r>
    <r>
      <rPr>
        <b/>
        <sz val="11"/>
        <color rgb="FF000000"/>
        <rFont val="Aptos Narrow"/>
        <family val="2"/>
        <scheme val="minor"/>
      </rPr>
      <t>18.11</t>
    </r>
    <r>
      <rPr>
        <sz val="11"/>
        <color rgb="FF000000"/>
        <rFont val="Aptos Narrow"/>
        <family val="2"/>
        <scheme val="minor"/>
      </rPr>
      <t>. output was repeated by SW --&gt; processing log is there after repeat (supplier is EDI conected but PO went via mail)</t>
    </r>
  </si>
  <si>
    <t>User settings (default order, shopping profile)</t>
  </si>
  <si>
    <t>PR creation, default orderer cannot be find</t>
  </si>
  <si>
    <t>also related towards task 25</t>
  </si>
  <si>
    <t>Viktor/Sabine/Ajit</t>
  </si>
  <si>
    <t>11.11. Sabine will retest today
12.11. screenshot wil be provided by Ajit regarding the GR flag - selection in field Printing is mandatory
13.11. work in progress
18.11. in case tests sucessfully update on same
21.11. changes in T4Q (tested sucessfully) and 20.11. moved to S4Q (test will be proceed by Viktor and team)
22.11. testing still required
26.11: Changes are available in production, kindly check it from your side and confirm to close.</t>
  </si>
  <si>
    <t>Contact information are not displayed in GMDM searching via email address or Partner number of the contact</t>
  </si>
  <si>
    <t>Incident creation towards to GMDM</t>
  </si>
  <si>
    <t>No transactional info - action item just not to check afterwards</t>
  </si>
  <si>
    <t>Business Partner</t>
  </si>
  <si>
    <r>
      <rPr>
        <b/>
        <sz val="11"/>
        <color theme="1"/>
        <rFont val="Aptos Narrow"/>
        <family val="2"/>
      </rPr>
      <t>11.11</t>
    </r>
    <r>
      <rPr>
        <sz val="11"/>
        <color theme="1"/>
        <rFont val="Aptos Narrow"/>
        <family val="2"/>
      </rPr>
      <t xml:space="preserve">. 6000122192 Ticket created to GMDM.
</t>
    </r>
    <r>
      <rPr>
        <b/>
        <sz val="11"/>
        <color theme="1"/>
        <rFont val="Aptos Narrow"/>
        <family val="2"/>
      </rPr>
      <t>13.11.</t>
    </r>
    <r>
      <rPr>
        <sz val="11"/>
        <color theme="1"/>
        <rFont val="Aptos Narrow"/>
        <family val="2"/>
      </rPr>
      <t xml:space="preserve"> : GMDM has confirmed that fix will be available in release </t>
    </r>
    <r>
      <rPr>
        <b/>
        <sz val="11"/>
        <color theme="1"/>
        <rFont val="Aptos Narrow"/>
        <family val="2"/>
      </rPr>
      <t>1321</t>
    </r>
    <r>
      <rPr>
        <sz val="11"/>
        <color theme="1"/>
        <rFont val="Aptos Narrow"/>
        <family val="2"/>
      </rPr>
      <t xml:space="preserve">.  
</t>
    </r>
    <r>
      <rPr>
        <b/>
        <sz val="11"/>
        <color theme="1"/>
        <rFont val="Aptos Narrow"/>
        <family val="2"/>
      </rPr>
      <t>18.11.</t>
    </r>
    <r>
      <rPr>
        <sz val="11"/>
        <color theme="1"/>
        <rFont val="Aptos Narrow"/>
        <family val="2"/>
      </rPr>
      <t xml:space="preserve"> check and confirm if details are available  --&gt; GMDM is working  (with different search criteria</t>
    </r>
  </si>
  <si>
    <t>Create video on verifying Ordering Contact in S4</t>
  </si>
  <si>
    <t>Create short video</t>
  </si>
  <si>
    <t>Create a short video</t>
  </si>
  <si>
    <t>Nazli/ Sven/ Livia/ Michaela</t>
  </si>
  <si>
    <t>09.11.: Done - short demo video available on Sharepoint: 
https://siemens.sharepoint.com/:v:/r/teams/FS4/GovernanceFoundation/P2P/Strategy%20to%20Contract%20(S2C)/P2R_Indirect/Training%20Indirect%20X/SX%20-%20Short%20video%20on%20Ordering%20Contact%20identification%20in%20S4-20241111_125715-Meeting%20Recording.mp4?csf=1&amp;web=1&amp;e=alZwzU</t>
  </si>
  <si>
    <t>Fucntional and Comnmercial Approver</t>
  </si>
  <si>
    <t>Check background activities</t>
  </si>
  <si>
    <t xml:space="preserve">Verify technical sequences in the background in case Commercial and Functional Approver are kicking in; </t>
  </si>
  <si>
    <t>Marco/Jan</t>
  </si>
  <si>
    <r>
      <rPr>
        <b/>
        <sz val="11"/>
        <color rgb="FF000000"/>
        <rFont val="Aptos Narrow"/>
        <family val="2"/>
        <scheme val="minor"/>
      </rPr>
      <t>11.11</t>
    </r>
    <r>
      <rPr>
        <sz val="11"/>
        <color rgb="FF000000"/>
        <rFont val="Aptos Narrow"/>
        <family val="2"/>
        <scheme val="minor"/>
      </rPr>
      <t xml:space="preserve">. example for both approvers, currently in analysis
</t>
    </r>
    <r>
      <rPr>
        <b/>
        <sz val="11"/>
        <color rgb="FF000000"/>
        <rFont val="Aptos Narrow"/>
        <family val="2"/>
        <scheme val="minor"/>
      </rPr>
      <t>13.11.</t>
    </r>
    <r>
      <rPr>
        <sz val="11"/>
        <color rgb="FF000000"/>
        <rFont val="Aptos Narrow"/>
        <family val="2"/>
        <scheme val="minor"/>
      </rPr>
      <t xml:space="preserve"> story created  SX-92722
BTP release (weekly)
</t>
    </r>
    <r>
      <rPr>
        <b/>
        <sz val="11"/>
        <color rgb="FF000000"/>
        <rFont val="Aptos Narrow"/>
        <family val="2"/>
        <scheme val="minor"/>
      </rPr>
      <t>22.11.</t>
    </r>
    <r>
      <rPr>
        <sz val="11"/>
        <color rgb="FF000000"/>
        <rFont val="Aptos Narrow"/>
        <family val="2"/>
        <scheme val="minor"/>
      </rPr>
      <t xml:space="preserve"> Jan will check with Marco about the release date
02.12. Marco: Situation replayed in test environment and no issue identified by DEV team. Unclear. Switched status to Pending. Please inform Marco once there is another </t>
    </r>
    <r>
      <rPr>
        <b/>
        <sz val="11"/>
        <color rgb="FF000000"/>
        <rFont val="Aptos Narrow"/>
        <family val="2"/>
        <scheme val="minor"/>
      </rPr>
      <t>PO &gt; 25k EUR (ca. 100k RON)</t>
    </r>
    <r>
      <rPr>
        <sz val="11"/>
        <color rgb="FF000000"/>
        <rFont val="Aptos Narrow"/>
        <family val="2"/>
        <scheme val="minor"/>
      </rPr>
      <t xml:space="preserve"> to check an similar situation</t>
    </r>
  </si>
  <si>
    <t>Verify Actions in BTP inboxes</t>
  </si>
  <si>
    <t>Clarify and verify why certain tasks remain in BTP inbox</t>
  </si>
  <si>
    <t>Purchase Order - Purchaser Step</t>
  </si>
  <si>
    <t>4500104447 / 4500104442</t>
  </si>
  <si>
    <r>
      <rPr>
        <b/>
        <sz val="11"/>
        <color rgb="FF000000"/>
        <rFont val="Aptos Narrow"/>
        <family val="2"/>
        <scheme val="minor"/>
      </rPr>
      <t>11.11</t>
    </r>
    <r>
      <rPr>
        <sz val="11"/>
        <color rgb="FF000000"/>
        <rFont val="Aptos Narrow"/>
        <family val="2"/>
        <scheme val="minor"/>
      </rPr>
      <t>. root cause analysis was done, BTP development team is fixing, expected productio</t>
    </r>
    <r>
      <rPr>
        <b/>
        <sz val="11"/>
        <color rgb="FF000000"/>
        <rFont val="Aptos Narrow"/>
        <family val="2"/>
        <scheme val="minor"/>
      </rPr>
      <t>n 21.11</t>
    </r>
    <r>
      <rPr>
        <sz val="11"/>
        <color rgb="FF000000"/>
        <rFont val="Aptos Narrow"/>
        <family val="2"/>
        <scheme val="minor"/>
      </rPr>
      <t xml:space="preserve">.
</t>
    </r>
    <r>
      <rPr>
        <b/>
        <sz val="11"/>
        <color rgb="FF000000"/>
        <rFont val="Aptos Narrow"/>
        <family val="2"/>
        <scheme val="minor"/>
      </rPr>
      <t>12.11.</t>
    </r>
    <r>
      <rPr>
        <sz val="11"/>
        <color rgb="FF000000"/>
        <rFont val="Aptos Narrow"/>
        <family val="2"/>
        <scheme val="minor"/>
      </rPr>
      <t xml:space="preserve">
4500104447 still open - with asset approval
</t>
    </r>
    <r>
      <rPr>
        <b/>
        <sz val="11"/>
        <color rgb="FF000000"/>
        <rFont val="Aptos Narrow"/>
        <family val="2"/>
        <scheme val="minor"/>
      </rPr>
      <t xml:space="preserve">14.11 </t>
    </r>
    <r>
      <rPr>
        <sz val="11"/>
        <color rgb="FF000000"/>
        <rFont val="Aptos Narrow"/>
        <family val="2"/>
        <scheme val="minor"/>
      </rPr>
      <t xml:space="preserve">
4500104447  approved 
25.11. in close tracing mode
02.12. Marco: Changed status to Pending. This has multiple reasons and some are already fixed with last release on 28.11.24 , others cannot be fixed short term (e.g. in S4 PO marking all items as deleted); continue to closely monitor and unneeded WFs manually
</t>
    </r>
  </si>
  <si>
    <t>Verify PO sent error message</t>
  </si>
  <si>
    <t>PO sent error message appeared for a dedicated PO to be clarified</t>
  </si>
  <si>
    <r>
      <rPr>
        <b/>
        <sz val="11"/>
        <color rgb="FF000000"/>
        <rFont val="Aptos Narrow"/>
        <family val="2"/>
        <scheme val="minor"/>
      </rPr>
      <t>11.11.</t>
    </r>
    <r>
      <rPr>
        <sz val="11"/>
        <color rgb="FF000000"/>
        <rFont val="Aptos Narrow"/>
        <family val="2"/>
        <scheme val="minor"/>
      </rPr>
      <t xml:space="preserve"> not directly IndirectX topic, PDF was not created (issue in PDF service);  6000122474 created and waiting on response.
14.11: Medium should change to 6-EDI and Funciton as LS instead of meduim 5.
</t>
    </r>
    <r>
      <rPr>
        <b/>
        <sz val="11"/>
        <color rgb="FF000000"/>
        <rFont val="Aptos Narrow"/>
        <family val="2"/>
        <scheme val="minor"/>
      </rPr>
      <t>15.11</t>
    </r>
    <r>
      <rPr>
        <sz val="11"/>
        <color rgb="FF000000"/>
        <rFont val="Aptos Narrow"/>
        <family val="2"/>
        <scheme val="minor"/>
      </rPr>
      <t xml:space="preserve"> : PDF is generated now. Please try to retrigger the PO output with external send and VN again
message is green, Mihai will check with supplier
18.11. - done supplier received the PO</t>
    </r>
  </si>
  <si>
    <t>Clarify why PO update calls arrive in approved and sent PO via technical user</t>
  </si>
  <si>
    <t>Multiple</t>
  </si>
  <si>
    <r>
      <rPr>
        <b/>
        <sz val="11"/>
        <color rgb="FF000000"/>
        <rFont val="Aptos Narrow"/>
        <family val="2"/>
        <scheme val="minor"/>
      </rPr>
      <t>11.11</t>
    </r>
    <r>
      <rPr>
        <sz val="11"/>
        <color rgb="FF000000"/>
        <rFont val="Aptos Narrow"/>
        <family val="2"/>
        <scheme val="minor"/>
      </rPr>
      <t xml:space="preserve">. adressed to BTP dev. team (issue with error handling  in analysis, no end user impact)
in QAS already  fixed planed for </t>
    </r>
    <r>
      <rPr>
        <b/>
        <sz val="11"/>
        <color rgb="FF000000"/>
        <rFont val="Aptos Narrow"/>
        <family val="2"/>
        <scheme val="minor"/>
      </rPr>
      <t>21.11.</t>
    </r>
    <r>
      <rPr>
        <sz val="11"/>
        <color rgb="FF000000"/>
        <rFont val="Aptos Narrow"/>
        <family val="2"/>
        <scheme val="minor"/>
      </rPr>
      <t xml:space="preserve">
22.11. Jan will check with Marco
02.12. Marco: Order of BTP API calls need to be adjusted; Error handling improved already in last update from 28.11.24 - additional validation in story SX-92730 - SX_XBT_DEV_DIG_IND_Changes of PO after PO release (PROD)
probably next release in January</t>
    </r>
  </si>
  <si>
    <t>no attachment transferred to PO(xlsx)</t>
  </si>
  <si>
    <t>Clarify</t>
  </si>
  <si>
    <t>4500105069 / 4500105100 / 4500105110</t>
  </si>
  <si>
    <r>
      <rPr>
        <b/>
        <sz val="11"/>
        <color rgb="FF000000"/>
        <rFont val="Aptos Narrow"/>
        <family val="2"/>
        <scheme val="minor"/>
      </rPr>
      <t xml:space="preserve">12.11: </t>
    </r>
    <r>
      <rPr>
        <sz val="11"/>
        <color rgb="FF000000"/>
        <rFont val="Aptos Narrow"/>
        <family val="2"/>
        <scheme val="minor"/>
      </rPr>
      <t xml:space="preserve">came up during the day, information provided by GBS Purchaser
</t>
    </r>
    <r>
      <rPr>
        <b/>
        <sz val="11"/>
        <color rgb="FF000000"/>
        <rFont val="Aptos Narrow"/>
        <family val="2"/>
        <scheme val="minor"/>
      </rPr>
      <t>13.11</t>
    </r>
    <r>
      <rPr>
        <sz val="11"/>
        <color rgb="FF000000"/>
        <rFont val="Aptos Narrow"/>
        <family val="2"/>
        <scheme val="minor"/>
      </rPr>
      <t xml:space="preserve">.: This only happens when attachments are uploaded in S4, not in myMall. We need to know how exactly was this uploaded. Meanwhile archiving expert Klaus Hellpoldt contacted for help.
</t>
    </r>
    <r>
      <rPr>
        <b/>
        <sz val="11"/>
        <color rgb="FF000000"/>
        <rFont val="Aptos Narrow"/>
        <family val="2"/>
        <scheme val="minor"/>
      </rPr>
      <t xml:space="preserve">15.11 : </t>
    </r>
    <r>
      <rPr>
        <sz val="11"/>
        <color rgb="FF000000"/>
        <rFont val="Aptos Narrow"/>
        <family val="2"/>
        <scheme val="minor"/>
      </rPr>
      <t xml:space="preserve">Update from Klaus Hellput- The attachments were stored in the SAP office and not in the archive, which is why you won't find any link entries in the TOAxx or ZOADX tables. I suspect that the users use the drag and drop functionality
requestors are using the upload button and NOT the drag and drop
</t>
    </r>
    <r>
      <rPr>
        <b/>
        <sz val="11"/>
        <color rgb="FF000000"/>
        <rFont val="Aptos Narrow"/>
        <family val="2"/>
        <scheme val="minor"/>
      </rPr>
      <t>18.11</t>
    </r>
    <r>
      <rPr>
        <sz val="11"/>
        <color rgb="FF000000"/>
        <rFont val="Aptos Narrow"/>
        <family val="2"/>
        <scheme val="minor"/>
      </rPr>
      <t>.Working as designed- Attachment cab be added either myMall or Manage Purchase Order App later.</t>
    </r>
    <r>
      <rPr>
        <sz val="11"/>
        <color rgb="FF000000"/>
        <rFont val="Aptos Narrow"/>
        <family val="2"/>
        <scheme val="minor"/>
      </rPr>
      <t xml:space="preserve">
Manafge PR App sholuld not be used for attachment else it will not transfer to PO.</t>
    </r>
  </si>
  <si>
    <t>Export control</t>
  </si>
  <si>
    <t>POs have to created via SAP GUI and via Fiori</t>
  </si>
  <si>
    <r>
      <t xml:space="preserve">done
13.11. 
incident created Nr. ???
</t>
    </r>
    <r>
      <rPr>
        <b/>
        <sz val="11"/>
        <color theme="1"/>
        <rFont val="Aptos Narrow"/>
        <family val="2"/>
        <scheme val="minor"/>
      </rPr>
      <t>PO cretion still in SAP GUI</t>
    </r>
    <r>
      <rPr>
        <sz val="11"/>
        <color theme="1"/>
        <rFont val="Aptos Narrow"/>
        <family val="2"/>
        <scheme val="minor"/>
      </rPr>
      <t xml:space="preserve">
Export control topic open</t>
    </r>
    <r>
      <rPr>
        <sz val="11"/>
        <color rgb="FF000000"/>
        <rFont val="Aptos Narrow"/>
        <family val="2"/>
        <scheme val="minor"/>
      </rPr>
      <t xml:space="preserve">
19.11 : Related to export control, needs to be clarify with Marco.
02.12. Marco: For the time being Purchaser have to use SAP GUI poration app ME22N. Missing AWV not a big issues anymore, because only relevant for Siemens internal business which is not in scope for IND X, no change soon expected, suggest to close this topic</t>
    </r>
  </si>
  <si>
    <t>Vendor in MyMall missing 1007488150</t>
  </si>
  <si>
    <t>done - supplier is available
Under technical investigation
Ticket Nr. 6000122133</t>
  </si>
  <si>
    <t>Vendor mater data</t>
  </si>
  <si>
    <t>email was not transferred from PEGA to S4 - 1007488150, doina.anton@servsting.com</t>
  </si>
  <si>
    <t>Sven/Viktor</t>
  </si>
  <si>
    <t>15.11.
Supplier number 1007488150
email doina.anton@servsting.com</t>
  </si>
  <si>
    <t xml:space="preserve">Check where PO is stuck </t>
  </si>
  <si>
    <t>Purchse Order</t>
  </si>
  <si>
    <t>Marco/Ajit</t>
  </si>
  <si>
    <t>19.11 : Reported on 19th Nov.</t>
  </si>
  <si>
    <t>POs have been created and not sent to Asset team for Approval and we can;t post the invoices</t>
  </si>
  <si>
    <t>how can we send it to Asset team, after PO is created, approved</t>
  </si>
  <si>
    <t>resend to Asset team</t>
  </si>
  <si>
    <t>4500104450, 4500104387, 4500104020, 4500104388, 4500104446</t>
  </si>
  <si>
    <t>PO was approved by Asset approver but not released from BTP side.</t>
  </si>
  <si>
    <t>Stuck in BTP workflow after asset approval</t>
  </si>
  <si>
    <t>Released Manually from BTP side.</t>
  </si>
  <si>
    <r>
      <rPr>
        <b/>
        <sz val="11"/>
        <color theme="1"/>
        <rFont val="Aptos Narrow"/>
        <family val="2"/>
        <scheme val="minor"/>
      </rPr>
      <t xml:space="preserve">20.11 </t>
    </r>
    <r>
      <rPr>
        <sz val="11"/>
        <color theme="1"/>
        <rFont val="Aptos Narrow"/>
        <family val="2"/>
        <scheme val="minor"/>
      </rPr>
      <t>: Released manually from BTP side.</t>
    </r>
  </si>
  <si>
    <t>PR 10105124 stucks between Requisitioner and the Purchaser step</t>
  </si>
  <si>
    <t>release strategy sais approved but no PO created and purchaser cannot see it in BTP
for PR 10105158 (same supplier) process is working correct</t>
  </si>
  <si>
    <t>has to be checked with BTP, error is not related to business partner</t>
  </si>
  <si>
    <t>Jan</t>
  </si>
  <si>
    <r>
      <rPr>
        <b/>
        <sz val="11"/>
        <color theme="1"/>
        <rFont val="Aptos Narrow"/>
        <family val="2"/>
        <scheme val="minor"/>
      </rPr>
      <t>20.11.</t>
    </r>
    <r>
      <rPr>
        <sz val="11"/>
        <color theme="1"/>
        <rFont val="Aptos Narrow"/>
        <family val="2"/>
        <scheme val="minor"/>
      </rPr>
      <t xml:space="preserve"> Jan will drop a mail to Marco and Nazli
in paralel Ticket via GBS Portal was created
</t>
    </r>
    <r>
      <rPr>
        <b/>
        <sz val="11"/>
        <color theme="1"/>
        <rFont val="Aptos Narrow"/>
        <family val="2"/>
        <scheme val="minor"/>
      </rPr>
      <t>INC41751707 created, pending with "INC_Infosys_Instance 1 Support"</t>
    </r>
    <r>
      <rPr>
        <sz val="11"/>
        <color theme="1"/>
        <rFont val="Aptos Narrow"/>
        <family val="2"/>
        <scheme val="minor"/>
      </rPr>
      <t xml:space="preserve">
21.11. Jan to Sven about the scenarios and waiting for respons (contact Iris about closing as well)</t>
    </r>
  </si>
  <si>
    <t>Assignee</t>
  </si>
  <si>
    <t>Harish</t>
  </si>
  <si>
    <t>Attachments</t>
  </si>
  <si>
    <t>- Test it from our side.</t>
  </si>
  <si>
    <t>- Header level attachments are not transferring from PR to PO.</t>
  </si>
  <si>
    <t>- Item level attachment is working fine; Harish will recheck.</t>
  </si>
  <si>
    <t>User Roles</t>
  </si>
  <si>
    <t>- Alignment with Thomas was done.</t>
  </si>
  <si>
    <t>Accenture (ACN) Team</t>
  </si>
  <si>
    <t>- Provide role-specific requirements to ACA team.</t>
  </si>
  <si>
    <t>- Similar roles to 3014 can be requested.</t>
  </si>
  <si>
    <t>- OCI-specific role needed.</t>
  </si>
  <si>
    <t>Release Strategy for PR</t>
  </si>
  <si>
    <t>- Story is needed and ACN team is working on it (Ongoing).</t>
  </si>
  <si>
    <t>PO Document Type &amp; Release Strategy</t>
  </si>
  <si>
    <t>- Create new PO document type &amp; release strategy (Reference: YIND).</t>
  </si>
  <si>
    <t>- Document type needs to be finalized next week.</t>
  </si>
  <si>
    <t>- Proposed document types: YDNB/YSRN &amp; YDFO/YSRF.</t>
  </si>
  <si>
    <t>PO Message Output</t>
  </si>
  <si>
    <t>- Configure it (Similar to 3014).</t>
  </si>
  <si>
    <t>BTP Team</t>
  </si>
  <si>
    <t>PR Form (BTP)</t>
  </si>
  <si>
    <t>- Defining the process steps (Ongoing).</t>
  </si>
  <si>
    <t>PO Workflow (BTP)</t>
  </si>
  <si>
    <t>- Extend the workflow for CoCode 3003 similar to 3014.</t>
  </si>
  <si>
    <t>- PO Expert step is in discussion.</t>
  </si>
  <si>
    <t>Tiger</t>
  </si>
  <si>
    <t>Org Structure</t>
  </si>
  <si>
    <t>- Sent mail for approval on 8th Dec for own Pur Org name convention (SR01/C300).</t>
  </si>
  <si>
    <t>- No feedback received; follow-up mail sent on 11th Dec.</t>
  </si>
  <si>
    <t>Gergana</t>
  </si>
  <si>
    <t>PO Form</t>
  </si>
  <si>
    <t>- Predefined text is needed &amp; logic.</t>
  </si>
  <si>
    <t>- Legal related topic: Purchase order name related (12th Dec).</t>
  </si>
  <si>
    <t>General Topics</t>
  </si>
  <si>
    <t>PO Change</t>
  </si>
  <si>
    <t>- Control the PO message output.</t>
  </si>
  <si>
    <t>- Workflow retrigger criteria.</t>
  </si>
  <si>
    <t>Interface Topics</t>
  </si>
  <si>
    <t>- VIM: 1st Recipient then Requisitioner, if both are not available then SAT approver.</t>
  </si>
  <si>
    <t>- GTS: GTS provided their requirements and need to align with next steps.</t>
  </si>
  <si>
    <t>- I2P: Withholding Tax (Available process is fit, coordinate with I2P team in testing and support)</t>
  </si>
  <si>
    <t>Ajit</t>
  </si>
  <si>
    <t>I21</t>
  </si>
  <si>
    <t>I22</t>
  </si>
  <si>
    <t>I23</t>
  </si>
  <si>
    <t>I24</t>
  </si>
  <si>
    <t>I25</t>
  </si>
  <si>
    <t>I26</t>
  </si>
  <si>
    <t>I27</t>
  </si>
  <si>
    <t>I28</t>
  </si>
  <si>
    <t>I29</t>
  </si>
  <si>
    <t>I30</t>
  </si>
  <si>
    <t>I31</t>
  </si>
  <si>
    <t>I32</t>
  </si>
  <si>
    <t>I33</t>
  </si>
  <si>
    <t>I34</t>
  </si>
  <si>
    <t>I35</t>
  </si>
  <si>
    <t>SX-95384</t>
  </si>
  <si>
    <t>SX-95456</t>
  </si>
  <si>
    <t>SX-95458</t>
  </si>
  <si>
    <t>SX-95459</t>
  </si>
  <si>
    <t>SX-95460</t>
  </si>
  <si>
    <t>SX-95461</t>
  </si>
  <si>
    <t>SX-95462</t>
  </si>
  <si>
    <t>SX-95463</t>
  </si>
  <si>
    <t>SX-95464</t>
  </si>
  <si>
    <t>SX-95465</t>
  </si>
  <si>
    <t>SX-95466</t>
  </si>
  <si>
    <t>SX-95467</t>
  </si>
  <si>
    <t>SX-95468</t>
  </si>
  <si>
    <t>SX-95474</t>
  </si>
  <si>
    <t>SX-95475</t>
  </si>
  <si>
    <t>SX-95478</t>
  </si>
  <si>
    <t>SX-95481</t>
  </si>
  <si>
    <t>SX-95483</t>
  </si>
  <si>
    <t>SX-95489</t>
  </si>
  <si>
    <t>SX-95490</t>
  </si>
  <si>
    <t>SX-95491</t>
  </si>
  <si>
    <t>SX-95492</t>
  </si>
  <si>
    <t>SX-95493</t>
  </si>
  <si>
    <t>SX-95494</t>
  </si>
  <si>
    <t>SX-95495</t>
  </si>
  <si>
    <t>SX-95497</t>
  </si>
  <si>
    <t>SX-95498</t>
  </si>
  <si>
    <t>SX-95499</t>
  </si>
  <si>
    <t>SX-95505</t>
  </si>
  <si>
    <t>SX-95506</t>
  </si>
  <si>
    <t>SX-95507</t>
  </si>
  <si>
    <t>SX-95512</t>
  </si>
  <si>
    <t>SX-95517</t>
  </si>
  <si>
    <t>SX-95518</t>
  </si>
  <si>
    <t>SX-95519</t>
  </si>
  <si>
    <t>SX-95526</t>
  </si>
  <si>
    <t>SX-95529</t>
  </si>
  <si>
    <t>SX-95530</t>
  </si>
  <si>
    <t>SX-95532</t>
  </si>
  <si>
    <t>SX-95534</t>
  </si>
  <si>
    <t>SX-95537</t>
  </si>
  <si>
    <t>SX-95538</t>
  </si>
  <si>
    <t>SX-95546</t>
  </si>
  <si>
    <t>SX-95535</t>
  </si>
  <si>
    <t>SX-101120</t>
  </si>
  <si>
    <t>SX-101121</t>
  </si>
  <si>
    <t>SX-101122</t>
  </si>
  <si>
    <t>SX-101123</t>
  </si>
  <si>
    <t>Create Direct Purchasing Organization</t>
  </si>
  <si>
    <t>Create Direct Purchasing Groups</t>
  </si>
  <si>
    <t>Create SAP Authorization Roles</t>
  </si>
  <si>
    <t>Control the Invoice receiver field in the PR and PO</t>
  </si>
  <si>
    <t>Send the Invoice Receiver GID from PO to VIM</t>
  </si>
  <si>
    <t>Include the Invoice Receiver in the PO printout</t>
  </si>
  <si>
    <t>Purchase Requisition Budget check</t>
  </si>
  <si>
    <t>Control the Requisitioner field in PR and PO</t>
  </si>
  <si>
    <t>Default value for the Requisitioner and Invoice Receiver in PR</t>
  </si>
  <si>
    <t>Punchout process for SRE Direct</t>
  </si>
  <si>
    <t>Purchaser to forward the PO to an Expert</t>
  </si>
  <si>
    <t>Purchaser to change multiple POs</t>
  </si>
  <si>
    <t>Purchaser to approve the invoice deviations</t>
  </si>
  <si>
    <t>PO Approvers determination</t>
  </si>
  <si>
    <t>Change the PO printout Form name for the limited item PO</t>
  </si>
  <si>
    <t>Printout texts based on the SRE Legal and Local requirements</t>
  </si>
  <si>
    <t>Send the PO based on the predefined media in the master data</t>
  </si>
  <si>
    <t>The Purchaser to select alternative Email to whom the PO should be sent</t>
  </si>
  <si>
    <t>Manually add an adhoc approver to the PO</t>
  </si>
  <si>
    <t>Include the invoice address in the PO printout and EDI</t>
  </si>
  <si>
    <t>Withholding Tax (WHT) to be correctly determined</t>
  </si>
  <si>
    <t>Include the Purchaser Data in the PO printout</t>
  </si>
  <si>
    <t>The Purchaser to decide if the PO should be sent to the supplier or not</t>
  </si>
  <si>
    <t>Include Attachments in to the Purchase Order</t>
  </si>
  <si>
    <t>Send Attachment to supplier</t>
  </si>
  <si>
    <t>Include additional Technical contact in PO printout</t>
  </si>
  <si>
    <t>Include the contract ID number in the PO printout</t>
  </si>
  <si>
    <t>Include Guarantees field in the PR/PO</t>
  </si>
  <si>
    <t>Include WHT-relevant information in the PR/PO based on existing WHT process in S4</t>
  </si>
  <si>
    <t>Purchase Order Response (POR) with deviations control</t>
  </si>
  <si>
    <t>SX-91326</t>
  </si>
  <si>
    <t>SX-91338</t>
  </si>
  <si>
    <t>SX-91336</t>
  </si>
  <si>
    <t>SX-91334</t>
  </si>
  <si>
    <t>SX-91333</t>
  </si>
  <si>
    <t>SX-91331</t>
  </si>
  <si>
    <t>Feature No.</t>
  </si>
  <si>
    <t>Story No.</t>
  </si>
  <si>
    <t>Fields specific Requirements</t>
  </si>
  <si>
    <t>PO Output &amp; PO Response &amp; PO Change</t>
  </si>
  <si>
    <t>Email Notifications &amp; Reminders &amp; Alerts</t>
  </si>
  <si>
    <t>Workflow Setup &amp; SAT Integration</t>
  </si>
  <si>
    <t>Direct_Manage Purchase Order</t>
  </si>
  <si>
    <t>Direct_Manage Purchase Requisition</t>
  </si>
  <si>
    <t>Feature Description</t>
  </si>
  <si>
    <t>Create new Purchase Order Doc Types</t>
  </si>
  <si>
    <t>Create release strategy for PO</t>
  </si>
  <si>
    <t>Create release strategy for PR</t>
  </si>
  <si>
    <t>GTS control - Include Material Master in the PR-PO</t>
  </si>
  <si>
    <t>T4D.100</t>
  </si>
  <si>
    <t>T4D.200</t>
  </si>
  <si>
    <t>T4Q.100</t>
  </si>
  <si>
    <t>U4Q.100</t>
  </si>
  <si>
    <t>S4R.100</t>
  </si>
  <si>
    <t>S4P.100</t>
  </si>
  <si>
    <t>Storytitle</t>
  </si>
  <si>
    <t>Create C300 and make the assignments</t>
  </si>
  <si>
    <t>Create  P.Group</t>
  </si>
  <si>
    <t>?</t>
  </si>
  <si>
    <t xml:space="preserve">Next Step </t>
  </si>
  <si>
    <t xml:space="preserve">Current Status </t>
  </si>
  <si>
    <t>526W</t>
  </si>
  <si>
    <t>Mobility Denmark</t>
  </si>
  <si>
    <t>539D</t>
  </si>
  <si>
    <t>Romania</t>
  </si>
  <si>
    <t>RO</t>
  </si>
  <si>
    <t>STPL India</t>
  </si>
  <si>
    <t>IN</t>
  </si>
  <si>
    <t>RC Switzerland</t>
  </si>
  <si>
    <t>513W</t>
  </si>
  <si>
    <t>Mobility Poland</t>
  </si>
  <si>
    <t>1420/1510</t>
  </si>
  <si>
    <t>PL</t>
  </si>
  <si>
    <t>CH</t>
  </si>
  <si>
    <t xml:space="preserve">Template Process Description </t>
  </si>
  <si>
    <t>Notification related to workflow and confirmation triggered from SAP BTP</t>
  </si>
  <si>
    <t>Team</t>
  </si>
  <si>
    <t>MPSX-564 - SX_GF_P2P_P2R: Procure2Receipt</t>
  </si>
  <si>
    <t>E2E Process / X-BT Workstream</t>
  </si>
  <si>
    <t>MPSX-29 - SX_GF_P2P: P2P</t>
  </si>
  <si>
    <t>Fit/GAP ID</t>
  </si>
  <si>
    <t>Linked Work Items</t>
  </si>
  <si>
    <t>Linked AUN</t>
  </si>
  <si>
    <r>
      <t xml:space="preserve">AUN </t>
    </r>
    <r>
      <rPr>
        <sz val="11"/>
        <color rgb="FF00B0F0"/>
        <rFont val="Aptos Narrow"/>
        <family val="2"/>
      </rPr>
      <t>&lt;AUN no.&gt;</t>
    </r>
    <r>
      <rPr>
        <sz val="11"/>
        <color rgb="FF000000"/>
        <rFont val="Aptos Narrow"/>
        <family val="2"/>
      </rPr>
      <t xml:space="preserve"> SX_GF_P2P_P2R_Direct_Manage Purchase Requisition</t>
    </r>
  </si>
  <si>
    <t>Create/manage Purchase requisition in SAP (S4) and verification in SAP BTP</t>
  </si>
  <si>
    <r>
      <t xml:space="preserve">AUN </t>
    </r>
    <r>
      <rPr>
        <sz val="11"/>
        <color rgb="FF00B0F0"/>
        <rFont val="Aptos Narrow"/>
        <family val="2"/>
      </rPr>
      <t xml:space="preserve">&lt;AUN no.&gt; </t>
    </r>
    <r>
      <rPr>
        <sz val="11"/>
        <color rgb="FF000000"/>
        <rFont val="Aptos Narrow"/>
        <family val="2"/>
      </rPr>
      <t>SX_GF_P2P_P2R_Direct_Manage Purchase Order</t>
    </r>
  </si>
  <si>
    <t>Create/manage Purchase Order in SAP (S4) and verification in SAP BTP</t>
  </si>
  <si>
    <r>
      <t>AUN</t>
    </r>
    <r>
      <rPr>
        <sz val="11"/>
        <color rgb="FF00B0F0"/>
        <rFont val="Aptos Narrow"/>
        <family val="2"/>
      </rPr>
      <t xml:space="preserve"> &lt;AUN no.&gt;</t>
    </r>
    <r>
      <rPr>
        <sz val="11"/>
        <color rgb="FF000000"/>
        <rFont val="Aptos Narrow"/>
        <family val="2"/>
      </rPr>
      <t xml:space="preserve"> SX_GF_P2P_P2R_Workflow Setup &amp; SAT Integration</t>
    </r>
  </si>
  <si>
    <t>PO workflow for procurement expert and SAT approvers in SAP BTP and release strategy in S4.</t>
  </si>
  <si>
    <r>
      <t xml:space="preserve">AUN </t>
    </r>
    <r>
      <rPr>
        <sz val="11"/>
        <color rgb="FF00B0F0"/>
        <rFont val="Aptos Narrow"/>
        <family val="2"/>
      </rPr>
      <t xml:space="preserve">&lt;AUN no.&gt; </t>
    </r>
    <r>
      <rPr>
        <sz val="11"/>
        <color rgb="FF000000"/>
        <rFont val="Aptos Narrow"/>
        <family val="2"/>
      </rPr>
      <t>SX_GF_P2P_P2R__Email Notifications &amp; Reminders &amp; Alerts</t>
    </r>
  </si>
  <si>
    <r>
      <t xml:space="preserve">AUN </t>
    </r>
    <r>
      <rPr>
        <sz val="11"/>
        <color rgb="FF00B0F0"/>
        <rFont val="Aptos Narrow"/>
        <family val="2"/>
      </rPr>
      <t>&lt;AUN no.&gt;</t>
    </r>
    <r>
      <rPr>
        <sz val="11"/>
        <color rgb="FF000000"/>
        <rFont val="Aptos Narrow"/>
        <family val="2"/>
      </rPr>
      <t xml:space="preserve"> SX_GF_P2P_P2R_PO Output &amp; PO Response &amp; PO Change</t>
    </r>
  </si>
  <si>
    <t>PO Output, PO response and PO change process in S4 via Fiori app.</t>
  </si>
  <si>
    <r>
      <t xml:space="preserve">AUN </t>
    </r>
    <r>
      <rPr>
        <sz val="11"/>
        <color rgb="FF00B0F0"/>
        <rFont val="Aptos Narrow"/>
        <family val="2"/>
      </rPr>
      <t>&lt;AUN no.&gt;</t>
    </r>
    <r>
      <rPr>
        <sz val="11"/>
        <color rgb="FF000000"/>
        <rFont val="Aptos Narrow"/>
        <family val="2"/>
      </rPr>
      <t xml:space="preserve"> SX_GF_P2P_P2R_Fields specific Requirements</t>
    </r>
  </si>
  <si>
    <t>Include WHT-relevant information in the PR/PO based on existing WHT process in S4.</t>
  </si>
  <si>
    <t>PO form related adjustments.</t>
  </si>
  <si>
    <t>404X</t>
  </si>
  <si>
    <t>576H</t>
  </si>
  <si>
    <t>P2R Roles</t>
  </si>
  <si>
    <t>Requisitioner</t>
  </si>
  <si>
    <t>Processes Purchase Requisitions (PR)</t>
  </si>
  <si>
    <t>Buyer</t>
  </si>
  <si>
    <t>Executes buying activities (eg retrieves quotes from supplier, determines sources)</t>
  </si>
  <si>
    <t>Procurement Expert</t>
  </si>
  <si>
    <t>Involved in predefined use cases in PR or PO to validate and update data for dedicated purpose</t>
  </si>
  <si>
    <t>Purchaser</t>
  </si>
  <si>
    <t>Processes PR and creates PO, Order Confirmations and Claims/Returns</t>
  </si>
  <si>
    <t>Approver</t>
  </si>
  <si>
    <t>Approves POs based on a signature mandate</t>
  </si>
  <si>
    <t>Organization Data</t>
  </si>
  <si>
    <t>Purchasing Organization</t>
  </si>
  <si>
    <t>Purchasing Group</t>
  </si>
  <si>
    <t>Document Types in S4P</t>
  </si>
  <si>
    <t xml:space="preserve">Standard Purchase Requisition </t>
  </si>
  <si>
    <t xml:space="preserve">Framework Purchase Requisition </t>
  </si>
  <si>
    <t>Standard Purchase Order</t>
  </si>
  <si>
    <t xml:space="preserve">Framework Purchase Order </t>
  </si>
  <si>
    <t>NB</t>
  </si>
  <si>
    <t>FO</t>
  </si>
  <si>
    <t>YDNB</t>
  </si>
  <si>
    <t>YDFO</t>
  </si>
  <si>
    <t>No IM* Purchasing Organization</t>
  </si>
  <si>
    <t xml:space="preserve">Purchase Org for 426Q/3003 = C300 </t>
  </si>
  <si>
    <t>SRE Funtional Group : FXX</t>
  </si>
  <si>
    <t>SRE Individual Group : IXX</t>
  </si>
  <si>
    <t xml:space="preserve">Purchasing Organization per company code </t>
  </si>
  <si>
    <t>C</t>
  </si>
  <si>
    <t>C0</t>
  </si>
  <si>
    <t>C1</t>
  </si>
  <si>
    <t>438Z</t>
  </si>
  <si>
    <t>438Z - N47 Mid-Tier GP 2024</t>
  </si>
  <si>
    <t>Rel 1210</t>
  </si>
  <si>
    <t>C2</t>
  </si>
  <si>
    <t>439Z</t>
  </si>
  <si>
    <t>439Z - N47 Fund 2024, L.P.</t>
  </si>
  <si>
    <t>426Q - SRE Germany</t>
  </si>
  <si>
    <t>Rel 1320</t>
  </si>
  <si>
    <t>C4</t>
  </si>
  <si>
    <t>526W - S' Mobility A/S, Ballerup</t>
  </si>
  <si>
    <t>C5</t>
  </si>
  <si>
    <t xml:space="preserve">539D - Buzias, Romania </t>
  </si>
  <si>
    <t>C6</t>
  </si>
  <si>
    <t>404X - Software (Netherlands)</t>
  </si>
  <si>
    <t>C7</t>
  </si>
  <si>
    <t>512Z</t>
  </si>
  <si>
    <r>
      <t>3291</t>
    </r>
    <r>
      <rPr>
        <sz val="14"/>
        <color rgb="FF808080"/>
        <rFont val="Arial"/>
        <family val="2"/>
      </rPr>
      <t>​</t>
    </r>
  </si>
  <si>
    <r>
      <t>512Z – Next47 Mid-Tier GP 2025, L.P., US</t>
    </r>
    <r>
      <rPr>
        <sz val="14"/>
        <color rgb="FF808080"/>
        <rFont val="Arial"/>
        <family val="2"/>
      </rPr>
      <t>​</t>
    </r>
  </si>
  <si>
    <t>Rel 1310</t>
  </si>
  <si>
    <t>C8</t>
  </si>
  <si>
    <t>513Z</t>
  </si>
  <si>
    <r>
      <t>3015</t>
    </r>
    <r>
      <rPr>
        <sz val="14"/>
        <color rgb="FF808080"/>
        <rFont val="Arial"/>
        <family val="2"/>
      </rPr>
      <t>​</t>
    </r>
  </si>
  <si>
    <r>
      <t>513Z – Next47 Fund 2025, L.P., UK</t>
    </r>
    <r>
      <rPr>
        <sz val="14"/>
        <color rgb="FF808080"/>
        <rFont val="Arial"/>
        <family val="2"/>
      </rPr>
      <t>​</t>
    </r>
  </si>
  <si>
    <t>C9</t>
  </si>
  <si>
    <t>576H - SISW AB, Sweden</t>
  </si>
  <si>
    <t>Rel 1410</t>
  </si>
  <si>
    <t>CA</t>
  </si>
  <si>
    <t>499Y</t>
  </si>
  <si>
    <t>499Y - Supplyframe, US</t>
  </si>
  <si>
    <t>CB</t>
  </si>
  <si>
    <t>539K</t>
  </si>
  <si>
    <t>539K - WS Tech GmbH Germany</t>
  </si>
  <si>
    <t>Small Entity</t>
  </si>
  <si>
    <t>CC</t>
  </si>
  <si>
    <t>540Z</t>
  </si>
  <si>
    <t>540Z - N47 Mid-Tier GP 2026, L.P.</t>
  </si>
  <si>
    <t>CD</t>
  </si>
  <si>
    <t>541Z</t>
  </si>
  <si>
    <t>541Z - N47 Fund 2026, L.P.</t>
  </si>
  <si>
    <t>CE</t>
  </si>
  <si>
    <t>4001 - S'Ind.park Karlsr. GmbH&amp;Co.KG</t>
  </si>
  <si>
    <t>Rel 1420</t>
  </si>
  <si>
    <t>CF</t>
  </si>
  <si>
    <t>442Q - SMOREM KG</t>
  </si>
  <si>
    <t>CG</t>
  </si>
  <si>
    <t>452C - IPGD GmbH</t>
  </si>
  <si>
    <t>5035 - Berliner Vermögensverw. GmbH</t>
  </si>
  <si>
    <t>CI</t>
  </si>
  <si>
    <t>523Q - Geisenhausener KG</t>
  </si>
  <si>
    <t>CJ</t>
  </si>
  <si>
    <t>524Q - Moorenbrunn KG</t>
  </si>
  <si>
    <t>CK</t>
  </si>
  <si>
    <t>561C - Capta GmbH</t>
  </si>
  <si>
    <t>CL</t>
  </si>
  <si>
    <t>573K - SCE Objekt 3 KG</t>
  </si>
  <si>
    <t>CM</t>
  </si>
  <si>
    <t>574K - SCE Objekt 4 KG</t>
  </si>
  <si>
    <t>CN</t>
  </si>
  <si>
    <t>575K - SCE Objekt 5 KG</t>
  </si>
  <si>
    <t>CO</t>
  </si>
  <si>
    <t>576K - SCE Objekt 6 KG</t>
  </si>
  <si>
    <t>CP</t>
  </si>
  <si>
    <t>577K - SCE Objekt 7 KG</t>
  </si>
  <si>
    <t>CQ</t>
  </si>
  <si>
    <t xml:space="preserve">578K - SCE Verwaltungs </t>
  </si>
  <si>
    <t>CR</t>
  </si>
  <si>
    <t>579K - SCE Grundstücks KG</t>
  </si>
  <si>
    <t>CS</t>
  </si>
  <si>
    <t>580K - SCE Objekt GmbH</t>
  </si>
  <si>
    <t>CT</t>
  </si>
  <si>
    <t>5663 - S' Tec Serv. Pvt. Ltd.</t>
  </si>
  <si>
    <t>CU</t>
  </si>
  <si>
    <t>CV</t>
  </si>
  <si>
    <t>CW</t>
  </si>
  <si>
    <t>CX</t>
  </si>
  <si>
    <t>CY</t>
  </si>
  <si>
    <t>CZ</t>
  </si>
  <si>
    <t>B Anzahl</t>
  </si>
  <si>
    <t>FocuS/4</t>
  </si>
  <si>
    <t>B</t>
  </si>
  <si>
    <t>B0</t>
  </si>
  <si>
    <t>B1</t>
  </si>
  <si>
    <t>569K</t>
  </si>
  <si>
    <t>569K - Siemens Beteiligungen USA</t>
  </si>
  <si>
    <t>B2</t>
  </si>
  <si>
    <t>5791 - Siemens Nixdorf Information</t>
  </si>
  <si>
    <t>B3</t>
  </si>
  <si>
    <t>579C</t>
  </si>
  <si>
    <t>579C - Lincas Electro Vertriebsg</t>
  </si>
  <si>
    <t>B4</t>
  </si>
  <si>
    <t>490C</t>
  </si>
  <si>
    <t>490C - Siemens Fonds Invest GmbH</t>
  </si>
  <si>
    <t>B5</t>
  </si>
  <si>
    <t>5032 - UST SF &amp; Leasing GmbH</t>
  </si>
  <si>
    <t>B6</t>
  </si>
  <si>
    <t>5067 - RISICOM AG</t>
  </si>
  <si>
    <t>B7</t>
  </si>
  <si>
    <t>5017 - SPF GmbH</t>
  </si>
  <si>
    <t>B8</t>
  </si>
  <si>
    <t>5034 - VVK GmbH</t>
  </si>
  <si>
    <t>B9</t>
  </si>
  <si>
    <t>5490 - Siemens Capital Corp.</t>
  </si>
  <si>
    <t>BA</t>
  </si>
  <si>
    <t>7018 - CF F Controlling &amp; Finance Financing</t>
  </si>
  <si>
    <t>BB</t>
  </si>
  <si>
    <t>523K</t>
  </si>
  <si>
    <t>523K - SFS Treasury GmbH</t>
  </si>
  <si>
    <t>BC</t>
  </si>
  <si>
    <t>496C</t>
  </si>
  <si>
    <t>496C - VMZ Berlin Betreibergesellschaft mbH</t>
  </si>
  <si>
    <t>BD</t>
  </si>
  <si>
    <t>431X</t>
  </si>
  <si>
    <t>431X - Next47 Inc.</t>
  </si>
  <si>
    <t>BE</t>
  </si>
  <si>
    <t>458X</t>
  </si>
  <si>
    <t>458X - Next47 Mid-Tier GP 2020, L.P.</t>
  </si>
  <si>
    <t>BF</t>
  </si>
  <si>
    <t>466X</t>
  </si>
  <si>
    <t>466X - Next47 Fund 2020, L.P.</t>
  </si>
  <si>
    <t>BG</t>
  </si>
  <si>
    <t>559X</t>
  </si>
  <si>
    <t>559X - Next47 Mid-Tier GP 2021, L.P.</t>
  </si>
  <si>
    <t>BH</t>
  </si>
  <si>
    <t>564X</t>
  </si>
  <si>
    <t>564X - Next47 Fund 2021, L.P.</t>
  </si>
  <si>
    <t>BI</t>
  </si>
  <si>
    <t>570W</t>
  </si>
  <si>
    <t>570W - Next47 TTGP, L.L.C.</t>
  </si>
  <si>
    <t>BJ</t>
  </si>
  <si>
    <t>571W</t>
  </si>
  <si>
    <t>571W - Next47 Mid-Tier GP 2018, L.P.</t>
  </si>
  <si>
    <t>F</t>
  </si>
  <si>
    <t>572W</t>
  </si>
  <si>
    <t>572W - Next47 Fund 2018, L.P.</t>
  </si>
  <si>
    <t>BL</t>
  </si>
  <si>
    <t>589W</t>
  </si>
  <si>
    <t>589W - Next47 Mid-Tier GP 2019, L.P.</t>
  </si>
  <si>
    <t>BM</t>
  </si>
  <si>
    <t>590W</t>
  </si>
  <si>
    <t>590W - Next47 Fund 2019, L.P.</t>
  </si>
  <si>
    <t>BN</t>
  </si>
  <si>
    <t>472Y</t>
  </si>
  <si>
    <t>472Y - Next47 MT 2022</t>
  </si>
  <si>
    <t>BO</t>
  </si>
  <si>
    <t>474Y</t>
  </si>
  <si>
    <t>474Y - Next47 Fund 2022</t>
  </si>
  <si>
    <t>BP</t>
  </si>
  <si>
    <t>7040 - Siemens AG SI HQ</t>
  </si>
  <si>
    <t>BQ</t>
  </si>
  <si>
    <t>534q</t>
  </si>
  <si>
    <t>534q - SOLEL KG</t>
  </si>
  <si>
    <t>BR</t>
  </si>
  <si>
    <t>4490 - Siemens Public, Inc.</t>
  </si>
  <si>
    <t>BS</t>
  </si>
  <si>
    <t>487D</t>
  </si>
  <si>
    <t>487D - Siemens Financial, Inc.</t>
  </si>
  <si>
    <t>BT</t>
  </si>
  <si>
    <t>403N</t>
  </si>
  <si>
    <t>403N - Siemens Financial Ltd.</t>
  </si>
  <si>
    <t>BU</t>
  </si>
  <si>
    <t>5638 - Siemens Financial Services, Inc.</t>
  </si>
  <si>
    <t>BV</t>
  </si>
  <si>
    <t>588y</t>
  </si>
  <si>
    <t>588y - Next47 Mid-Tier GP 2023</t>
  </si>
  <si>
    <t>BW</t>
  </si>
  <si>
    <t>589y</t>
  </si>
  <si>
    <t>589y - Next47 Fund 2023, L.P.</t>
  </si>
  <si>
    <t>BX</t>
  </si>
  <si>
    <t>436Z</t>
  </si>
  <si>
    <t>436Z - Project Ventures Rail Investments (SMWSA) Pty Ltd</t>
  </si>
  <si>
    <t>Rel 1122</t>
  </si>
  <si>
    <t>BY</t>
  </si>
  <si>
    <t>7998 - SRE</t>
  </si>
  <si>
    <t>Rel 1220</t>
  </si>
  <si>
    <t>BZ</t>
  </si>
  <si>
    <t>4168 - Dependent ARE of SI CH</t>
  </si>
  <si>
    <t>5280 - SI CH</t>
  </si>
  <si>
    <t>Rel 1510</t>
  </si>
  <si>
    <t>Original P.Org  planned (option 1)</t>
  </si>
  <si>
    <t>Company Code (AUN)</t>
  </si>
  <si>
    <t>BY00</t>
  </si>
  <si>
    <t>C500</t>
  </si>
  <si>
    <t>CT00</t>
  </si>
  <si>
    <t>CE00</t>
  </si>
  <si>
    <t>CF00</t>
  </si>
  <si>
    <t>CG00</t>
  </si>
  <si>
    <t>CH00</t>
  </si>
  <si>
    <t xml:space="preserve">Plants </t>
  </si>
  <si>
    <t>SRE HQ</t>
  </si>
  <si>
    <t>Reference /Remarks</t>
  </si>
  <si>
    <t xml:space="preserve">SRE Purchasing Groups </t>
  </si>
  <si>
    <t>F01, IXX</t>
  </si>
  <si>
    <t xml:space="preserve">RC Switzerland </t>
  </si>
  <si>
    <t>CI00</t>
  </si>
  <si>
    <t>#N/A00</t>
  </si>
  <si>
    <t>CJ00</t>
  </si>
  <si>
    <t>CK00</t>
  </si>
  <si>
    <t>CL00</t>
  </si>
  <si>
    <t>CM00</t>
  </si>
  <si>
    <t>CN00</t>
  </si>
  <si>
    <t>CO00</t>
  </si>
  <si>
    <t>CP00</t>
  </si>
  <si>
    <t>CQ00</t>
  </si>
  <si>
    <t>CR00</t>
  </si>
  <si>
    <t>CS00</t>
  </si>
  <si>
    <t>Company  Code</t>
  </si>
  <si>
    <t>OneSRM</t>
  </si>
  <si>
    <t xml:space="preserve">OneSRM PO </t>
  </si>
  <si>
    <t>Plant</t>
  </si>
  <si>
    <t>P.Org</t>
  </si>
  <si>
    <t>IM10</t>
  </si>
  <si>
    <t>YSRM</t>
  </si>
  <si>
    <t>97*</t>
  </si>
  <si>
    <t>45*</t>
  </si>
  <si>
    <t>PO Migration</t>
  </si>
  <si>
    <t>P.Groups</t>
  </si>
  <si>
    <t>Status of Purchasing Document</t>
  </si>
  <si>
    <t>K-Purchase Order from BBP</t>
  </si>
  <si>
    <t>9-Enjoy Purchase Order</t>
  </si>
  <si>
    <t>Contain invalid values in some cases</t>
  </si>
  <si>
    <t xml:space="preserve">Requistioner </t>
  </si>
  <si>
    <t>Doc Type (Framework)</t>
  </si>
  <si>
    <t>Doc Type (Standard)</t>
  </si>
  <si>
    <t>S4P</t>
  </si>
  <si>
    <t xml:space="preserve">Number ranges </t>
  </si>
  <si>
    <t>SRE Direct PO</t>
  </si>
  <si>
    <t>F01, I01,…I14</t>
  </si>
  <si>
    <t xml:space="preserve">PO (PDF copy) sender </t>
  </si>
  <si>
    <t>PO Creator system</t>
  </si>
  <si>
    <t xml:space="preserve">S4P </t>
  </si>
  <si>
    <t>OneSRM (Leading)</t>
  </si>
  <si>
    <t xml:space="preserve">Approval flow </t>
  </si>
  <si>
    <t>SAP BTP</t>
  </si>
  <si>
    <t>SRE DE SIB KG</t>
  </si>
  <si>
    <r>
      <t xml:space="preserve">C501, </t>
    </r>
    <r>
      <rPr>
        <b/>
        <sz val="11"/>
        <color theme="1"/>
        <rFont val="Aptos Narrow"/>
        <family val="2"/>
        <scheme val="minor"/>
      </rPr>
      <t xml:space="preserve">C5XX </t>
    </r>
  </si>
  <si>
    <r>
      <t xml:space="preserve">CT01, </t>
    </r>
    <r>
      <rPr>
        <b/>
        <sz val="11"/>
        <color theme="1"/>
        <rFont val="Aptos Narrow"/>
        <family val="2"/>
        <scheme val="minor"/>
      </rPr>
      <t xml:space="preserve">CTXX </t>
    </r>
  </si>
  <si>
    <t>Need to identify</t>
  </si>
  <si>
    <t>F01, I01,I02,…I14</t>
  </si>
  <si>
    <t>Not vailable</t>
  </si>
  <si>
    <t>Purchasing Organization- Final</t>
  </si>
  <si>
    <t>SISW AB, Solna</t>
  </si>
  <si>
    <t>SE</t>
  </si>
  <si>
    <t>C900</t>
  </si>
  <si>
    <t>Business Contacts</t>
  </si>
  <si>
    <t>Gergana/Tobias</t>
  </si>
  <si>
    <t>Business Type</t>
  </si>
  <si>
    <t>Software</t>
  </si>
  <si>
    <t>Product</t>
  </si>
  <si>
    <t>Gergana/Tobias/Stefanie</t>
  </si>
  <si>
    <t xml:space="preserve">3S - Service / Solution / System </t>
  </si>
  <si>
    <t>C502-Sibiu</t>
  </si>
  <si>
    <t>Configuration</t>
  </si>
  <si>
    <t>Document Type</t>
  </si>
  <si>
    <t>PO Message output</t>
  </si>
  <si>
    <t>PR</t>
  </si>
  <si>
    <t>PO</t>
  </si>
  <si>
    <t>R1410</t>
  </si>
  <si>
    <t>Org Strucuture</t>
  </si>
  <si>
    <t>Pur.Organization</t>
  </si>
  <si>
    <t>Pur. Groups</t>
  </si>
  <si>
    <t xml:space="preserve">New doc type for standard PO </t>
  </si>
  <si>
    <t xml:space="preserve">New doc type for framwork PO </t>
  </si>
  <si>
    <t>Should be set up by finance team</t>
  </si>
  <si>
    <t>Company ID + counter</t>
  </si>
  <si>
    <t>Functional FXX , Individual IXX</t>
  </si>
  <si>
    <t>R1420</t>
  </si>
  <si>
    <t xml:space="preserve">Direct X P2R Release </t>
  </si>
  <si>
    <t>Y004</t>
  </si>
  <si>
    <t>Characteristic value maitnain</t>
  </si>
  <si>
    <t>ISI Team</t>
  </si>
  <si>
    <t>P2R</t>
  </si>
  <si>
    <t>ACA</t>
  </si>
  <si>
    <t>GF</t>
  </si>
  <si>
    <t>NA</t>
  </si>
  <si>
    <t>Maintain condition records</t>
  </si>
  <si>
    <t>MDG</t>
  </si>
  <si>
    <t>R2R</t>
  </si>
  <si>
    <t>Maitnain EDI value mapping tables</t>
  </si>
  <si>
    <t>OCI set up</t>
  </si>
  <si>
    <t>Maintain OCI parameters</t>
  </si>
  <si>
    <t>Set up Org structure in myMall</t>
  </si>
  <si>
    <t>myMall</t>
  </si>
  <si>
    <t>Confirmation Control  Key</t>
  </si>
  <si>
    <t>SAT entries upload</t>
  </si>
  <si>
    <t>SAT</t>
  </si>
  <si>
    <t>DEV</t>
  </si>
  <si>
    <t>New role for OCI AUN specific</t>
  </si>
  <si>
    <t>Supplier Replication</t>
  </si>
  <si>
    <t>OC assignment to BP</t>
  </si>
  <si>
    <t>Role Assignment to Users</t>
  </si>
  <si>
    <t>DirX entry in GMDM for new P.Org.</t>
  </si>
  <si>
    <t>GMDM</t>
  </si>
  <si>
    <t>R1510</t>
  </si>
  <si>
    <t>R1520</t>
  </si>
  <si>
    <t>XLD  to Y line related to new P.Org. TR</t>
  </si>
  <si>
    <t>BTP Access for users</t>
  </si>
  <si>
    <t xml:space="preserve">BTP condition tables maitanence </t>
  </si>
  <si>
    <t>BTP</t>
  </si>
  <si>
    <t>Dependencies</t>
  </si>
  <si>
    <t>Documentation</t>
  </si>
  <si>
    <t>Solution Design outline</t>
  </si>
  <si>
    <t xml:space="preserve">BTP Apps &amp; Services </t>
  </si>
  <si>
    <t>Setting up confirmation control Key</t>
  </si>
  <si>
    <t xml:space="preserve">WH Tax related requirment </t>
  </si>
  <si>
    <t>VIM Related requirements</t>
  </si>
  <si>
    <t xml:space="preserve">BTP related enhancement </t>
  </si>
  <si>
    <t>S4 Enhancement : PO Printout set up</t>
  </si>
  <si>
    <t>WH Tax</t>
  </si>
  <si>
    <t>VIM</t>
  </si>
  <si>
    <t>FIT documents</t>
  </si>
  <si>
    <t>Testing</t>
  </si>
  <si>
    <t xml:space="preserve">Training </t>
  </si>
  <si>
    <t>Training related documents</t>
  </si>
  <si>
    <t>New MM Role creation/extend for new unit</t>
  </si>
  <si>
    <t>Category</t>
  </si>
  <si>
    <t>Topic description</t>
  </si>
  <si>
    <t>Additional information</t>
  </si>
  <si>
    <t>Cutover</t>
  </si>
  <si>
    <t>Cutover task creation</t>
  </si>
  <si>
    <t xml:space="preserve">ER roles assignment </t>
  </si>
  <si>
    <t xml:space="preserve">Cutover </t>
  </si>
  <si>
    <t>Cutover task execution</t>
  </si>
  <si>
    <t>Smoke Testing</t>
  </si>
  <si>
    <t>(blank)</t>
  </si>
  <si>
    <t>Configuration Total</t>
  </si>
  <si>
    <t>Cutover Total</t>
  </si>
  <si>
    <t>Cutover  Total</t>
  </si>
  <si>
    <t>Dependencies Total</t>
  </si>
  <si>
    <t>Documentation Total</t>
  </si>
  <si>
    <t>Process Overview document for F2S workshop</t>
  </si>
  <si>
    <t>Release Strategy chacteristic values (PR)</t>
  </si>
  <si>
    <t>Release Strategy chacteristic values (PO)</t>
  </si>
  <si>
    <t>Unit &amp; Functional test document</t>
  </si>
  <si>
    <t>Fit to Standard workshop</t>
  </si>
  <si>
    <t>Workshops/sessions</t>
  </si>
  <si>
    <t>System walkthrough session</t>
  </si>
  <si>
    <t>Y005 - Maintain condition records</t>
  </si>
  <si>
    <t>SIEEDI - Maintain EDI mapping tables</t>
  </si>
  <si>
    <t xml:space="preserve">PO Message output </t>
  </si>
  <si>
    <t>Count of Topic</t>
  </si>
  <si>
    <t>STSPL India</t>
  </si>
  <si>
    <t>CT00, CTXX ( 5 states)</t>
  </si>
  <si>
    <t>WSI Entity</t>
  </si>
  <si>
    <t>myMall_DE_3003</t>
  </si>
  <si>
    <t>myMall_DE_3371</t>
  </si>
  <si>
    <t>myMall_DE_3372</t>
  </si>
  <si>
    <t>myMall_DE_3373</t>
  </si>
  <si>
    <t>myMall_DE_3384</t>
  </si>
  <si>
    <t>myMall_DE_3385</t>
  </si>
  <si>
    <t>myMall_DE_3386</t>
  </si>
  <si>
    <t>myMall_DE_3374</t>
  </si>
  <si>
    <t>myMall_DE_3375</t>
  </si>
  <si>
    <t>myMall_DE_3376</t>
  </si>
  <si>
    <t>myMall_DE_3377</t>
  </si>
  <si>
    <t>myMall_DE_3378</t>
  </si>
  <si>
    <t>myMall_DE_3379</t>
  </si>
  <si>
    <t>myMall_DE_3380</t>
  </si>
  <si>
    <t>myMall_DE_3381</t>
  </si>
  <si>
    <t>myMall_DE_3382</t>
  </si>
  <si>
    <t>myMall_SE_3363</t>
  </si>
  <si>
    <t>myMall_PL_3369</t>
  </si>
  <si>
    <t>myMall_RO_3014</t>
  </si>
  <si>
    <t>myMall_IN_3368</t>
  </si>
  <si>
    <t>myMall_CH_3005</t>
  </si>
  <si>
    <t>15 SRE Bundle</t>
  </si>
  <si>
    <t>Feature</t>
  </si>
  <si>
    <t>MM Display</t>
  </si>
  <si>
    <t>Guided UAT sessions &amp; Defect Discussion</t>
  </si>
  <si>
    <t>Rashmi Bhagwat /Sanjeev Mishra/Rajkumar/</t>
  </si>
  <si>
    <r>
      <t xml:space="preserve">BZ01 </t>
    </r>
    <r>
      <rPr>
        <b/>
        <i/>
        <sz val="11"/>
        <color theme="1"/>
        <rFont val="Aptos Narrow"/>
        <family val="2"/>
        <scheme val="minor"/>
      </rPr>
      <t>,BZXX</t>
    </r>
  </si>
  <si>
    <t>06.05 :Relevant for later releases , so will not invest more time for these ARE now.</t>
  </si>
  <si>
    <t>Maier, Georg, Keipiela-Prus, Agnieszka</t>
  </si>
  <si>
    <t>B01, B02</t>
  </si>
  <si>
    <t>myMall_DE_7998</t>
  </si>
  <si>
    <t>P.Organizations and functional groups are finalized, but the details for individual P.groups still need to be provided by SRE. Please consult Gergana or Stefenie, and you can use the R1410 template to gather the information.</t>
  </si>
  <si>
    <t>06.05 : Please review and suggest an SRE-specific P.Org following the SherpaX naming convention, applicable for Sibiu, and update it in column M. Ensure the release strategy aligns with Indirect X and does not conflict. Additionally, conduct an internal review to identify suitable P.Groups (FXX) based on PR and PO release strategies, and propose accordingly.
02.04 : No additional requirement , July carveout is not relevant .
04.03 : Release strategy needs to be checked again based on international ARE Org data.</t>
  </si>
  <si>
    <t>06.05 :Please review and suggest an SRE-specific P.Org following the SherpaX naming convention, applicable for STSPL India , and update it in column M. Ensure the release strategy aligns with Indirect X and does not conflict. Additionally, conduct an internal review to identify suitable P.Groups (FXX) based on PR and PO release strategies, and propose accordingly.
02.04 :Multiple plants will be there , energy PO
Good receipts : Note down all necessary changes required if GR is required.</t>
  </si>
  <si>
    <t>This applies to IndirectX only; please confirm with Gergana to see if it’s also relevant for Direct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</si>
</sst>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16"/>
      <color theme="1"/>
      <name val="Aptos Narrow"/>
      <family val="2"/>
      <scheme val="minor"/>
    </font>
    <font>
      <sz val="16"/>
      <color theme="1"/>
      <name val="Aptos Narrow"/>
      <family val="2"/>
      <scheme val="minor"/>
    </font>
    <font>
      <sz val="11"/>
      <color theme="1"/>
      <name val="Segoe UI"/>
      <family val="2"/>
    </font>
    <font>
      <b/>
      <sz val="11"/>
      <color theme="1"/>
      <name val="Segoe UI"/>
      <family val="2"/>
    </font>
    <font>
      <b/>
      <sz val="18"/>
      <color theme="1"/>
      <name val="Segoe UI"/>
      <family val="2"/>
    </font>
    <font>
      <u/>
      <sz val="11"/>
      <color theme="10"/>
      <name val="Aptos Narrow"/>
      <family val="2"/>
      <scheme val="minor"/>
    </font>
    <font>
      <sz val="8"/>
      <name val="Aptos Narrow"/>
      <family val="2"/>
      <scheme val="minor"/>
    </font>
    <font>
      <u/>
      <sz val="11"/>
      <color theme="0"/>
      <name val="Aptos Narrow"/>
      <family val="2"/>
      <scheme val="minor"/>
    </font>
    <font>
      <sz val="10"/>
      <color theme="1"/>
      <name val="Arial"/>
      <family val="2"/>
    </font>
    <font>
      <b/>
      <sz val="10"/>
      <color theme="1"/>
      <name val="Arial"/>
      <family val="2"/>
    </font>
    <font>
      <b/>
      <sz val="11"/>
      <color theme="1"/>
      <name val="Aptos"/>
      <family val="2"/>
    </font>
    <font>
      <sz val="10.5"/>
      <color rgb="FF242424"/>
      <name val="Segoe UI"/>
      <family val="2"/>
    </font>
    <font>
      <sz val="11"/>
      <color rgb="FF00B050"/>
      <name val="Aptos"/>
      <family val="2"/>
    </font>
    <font>
      <sz val="11"/>
      <color rgb="FFFF0000"/>
      <name val="Aptos"/>
      <family val="2"/>
    </font>
    <font>
      <sz val="11"/>
      <color rgb="FFFFC000"/>
      <name val="Aptos"/>
      <family val="2"/>
    </font>
    <font>
      <sz val="10"/>
      <color rgb="FF00B050"/>
      <name val="Arial"/>
      <family val="2"/>
    </font>
    <font>
      <sz val="10"/>
      <color rgb="FFFFC000"/>
      <name val="Arial"/>
      <family val="2"/>
    </font>
    <font>
      <sz val="11"/>
      <color rgb="FF000000"/>
      <name val="Aptos Narrow"/>
      <family val="2"/>
      <scheme val="minor"/>
    </font>
    <font>
      <sz val="11"/>
      <color rgb="FF000000"/>
      <name val="Aptos Narrow"/>
      <family val="2"/>
    </font>
    <font>
      <b/>
      <sz val="11"/>
      <color rgb="FF000000"/>
      <name val="Aptos Narrow"/>
      <family val="2"/>
    </font>
    <font>
      <sz val="11"/>
      <color rgb="FF000000"/>
      <name val="Aptos Narrow"/>
      <family val="2"/>
    </font>
    <font>
      <sz val="9"/>
      <name val="Arial"/>
      <family val="2"/>
    </font>
    <font>
      <b/>
      <sz val="11"/>
      <color rgb="FF000000"/>
      <name val="Aptos Narrow"/>
      <family val="2"/>
      <scheme val="minor"/>
    </font>
    <font>
      <sz val="11"/>
      <color rgb="FF242424"/>
      <name val="Aptos Narrow"/>
      <family val="2"/>
    </font>
    <font>
      <sz val="11"/>
      <color theme="1"/>
      <name val="Aptos Narrow"/>
      <family val="2"/>
    </font>
    <font>
      <b/>
      <sz val="11"/>
      <color theme="1"/>
      <name val="Aptos Narrow"/>
      <family val="2"/>
    </font>
    <font>
      <b/>
      <sz val="10"/>
      <color rgb="FF44546A"/>
      <name val="Calibri"/>
      <family val="2"/>
    </font>
    <font>
      <b/>
      <sz val="11"/>
      <color rgb="FF44546A"/>
      <name val="Calibri"/>
      <family val="2"/>
    </font>
    <font>
      <sz val="10"/>
      <color rgb="FF000000"/>
      <name val="Calibri"/>
      <family val="2"/>
    </font>
    <font>
      <sz val="11"/>
      <color theme="1"/>
      <name val="Calibri"/>
      <family val="2"/>
    </font>
    <font>
      <sz val="11"/>
      <color rgb="FF00B0F0"/>
      <name val="Aptos Narrow"/>
      <family val="2"/>
    </font>
    <font>
      <sz val="11"/>
      <color rgb="FF000000"/>
      <name val="Calibri"/>
      <family val="2"/>
    </font>
    <font>
      <sz val="11"/>
      <color rgb="FFFF0000"/>
      <name val="Calibri"/>
      <family val="2"/>
    </font>
    <font>
      <sz val="14"/>
      <color rgb="FF808080"/>
      <name val="Arial"/>
      <family val="2"/>
    </font>
    <font>
      <b/>
      <sz val="11"/>
      <color rgb="FF000000"/>
      <name val="Calibri"/>
      <family val="2"/>
    </font>
    <font>
      <sz val="28"/>
      <color theme="1"/>
      <name val="Aptos Narrow"/>
      <family val="2"/>
      <scheme val="minor"/>
    </font>
    <font>
      <b/>
      <sz val="28"/>
      <color theme="1"/>
      <name val="Aptos Narrow"/>
      <family val="2"/>
      <scheme val="minor"/>
    </font>
    <font>
      <b/>
      <sz val="12"/>
      <color theme="1"/>
      <name val="Aptos Narrow"/>
      <family val="2"/>
      <scheme val="minor"/>
    </font>
    <font>
      <sz val="11"/>
      <color rgb="FF00B050"/>
      <name val="Aptos Narrow"/>
      <family val="2"/>
      <scheme val="minor"/>
    </font>
    <font>
      <sz val="10"/>
      <color theme="1"/>
      <name val="Aptos Narrow"/>
      <family val="2"/>
      <scheme val="minor"/>
    </font>
    <font>
      <i/>
      <sz val="11"/>
      <color theme="1"/>
      <name val="Aptos Narrow"/>
      <family val="2"/>
      <scheme val="minor"/>
    </font>
    <font>
      <b/>
      <i/>
      <sz val="11"/>
      <color theme="1"/>
      <name val="Aptos Narrow"/>
      <family val="2"/>
      <scheme val="minor"/>
    </font>
  </fonts>
  <fills count="19">
    <fill>
      <patternFill patternType="none"/>
    </fill>
    <fill>
      <patternFill patternType="gray125"/>
    </fill>
    <fill>
      <patternFill patternType="solid">
        <fgColor theme="9" tint="0.59999389629810485"/>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3" tint="0.89999084444715716"/>
        <bgColor indexed="64"/>
      </patternFill>
    </fill>
    <fill>
      <patternFill patternType="solid">
        <fgColor rgb="FFFFFF00"/>
        <bgColor indexed="64"/>
      </patternFill>
    </fill>
    <fill>
      <patternFill patternType="solid">
        <fgColor theme="0" tint="-0.34998626667073579"/>
        <bgColor indexed="64"/>
      </patternFill>
    </fill>
    <fill>
      <patternFill patternType="solid">
        <fgColor theme="2"/>
        <bgColor indexed="64"/>
      </patternFill>
    </fill>
    <fill>
      <patternFill patternType="solid">
        <fgColor rgb="FF92D050"/>
        <bgColor indexed="64"/>
      </patternFill>
    </fill>
    <fill>
      <patternFill patternType="solid">
        <fgColor rgb="FFFFC000"/>
        <bgColor rgb="FFFFFFFF"/>
      </patternFill>
    </fill>
    <fill>
      <patternFill patternType="solid">
        <fgColor theme="0" tint="-0.249977111117893"/>
        <bgColor rgb="FFFFFFFF"/>
      </patternFill>
    </fill>
    <fill>
      <patternFill patternType="solid">
        <fgColor rgb="FFFFC000"/>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rgb="FF00B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thin">
        <color rgb="FFC0C0C0"/>
      </left>
      <right style="thin">
        <color rgb="FFC0C0C0"/>
      </right>
      <top style="thin">
        <color rgb="FFC0C0C0"/>
      </top>
      <bottom style="thin">
        <color rgb="FFC0C0C0"/>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9" fillId="0" borderId="0" applyNumberFormat="0" applyFill="0" applyBorder="0" applyAlignment="0" applyProtection="0"/>
  </cellStyleXfs>
  <cellXfs count="161">
    <xf numFmtId="0" fontId="0" fillId="0" borderId="0" xfId="0"/>
    <xf numFmtId="0" fontId="0" fillId="0" borderId="1" xfId="0" applyBorder="1"/>
    <xf numFmtId="0" fontId="1" fillId="0" borderId="0" xfId="0" applyFont="1"/>
    <xf numFmtId="0" fontId="1" fillId="0" borderId="1" xfId="0" applyFont="1" applyBorder="1"/>
    <xf numFmtId="0" fontId="0" fillId="0" borderId="1" xfId="0" applyBorder="1" applyAlignment="1">
      <alignment horizontal="center"/>
    </xf>
    <xf numFmtId="0" fontId="0" fillId="0" borderId="1" xfId="0" applyBorder="1" applyAlignment="1">
      <alignment horizontal="center" wrapText="1"/>
    </xf>
    <xf numFmtId="0" fontId="0" fillId="0" borderId="1" xfId="0" applyBorder="1" applyAlignment="1">
      <alignment horizontal="left"/>
    </xf>
    <xf numFmtId="0" fontId="0" fillId="5" borderId="1" xfId="0" applyFill="1" applyBorder="1" applyAlignment="1">
      <alignment horizontal="center"/>
    </xf>
    <xf numFmtId="0" fontId="0" fillId="5" borderId="1" xfId="0" applyFill="1" applyBorder="1" applyAlignment="1">
      <alignment horizontal="left"/>
    </xf>
    <xf numFmtId="0" fontId="2" fillId="4" borderId="1" xfId="0" applyFont="1" applyFill="1" applyBorder="1" applyAlignment="1">
      <alignment horizontal="center"/>
    </xf>
    <xf numFmtId="0" fontId="4" fillId="2" borderId="1" xfId="0" applyFont="1" applyFill="1" applyBorder="1" applyAlignment="1">
      <alignment horizontal="center"/>
    </xf>
    <xf numFmtId="0" fontId="5" fillId="0" borderId="0" xfId="0" applyFont="1"/>
    <xf numFmtId="0" fontId="5" fillId="0" borderId="1" xfId="0" applyFont="1" applyBorder="1" applyAlignment="1">
      <alignment horizontal="center"/>
    </xf>
    <xf numFmtId="0" fontId="5" fillId="0" borderId="1" xfId="0" applyFont="1" applyBorder="1"/>
    <xf numFmtId="0" fontId="5" fillId="0" borderId="0" xfId="0" applyFont="1" applyAlignment="1">
      <alignment horizontal="center"/>
    </xf>
    <xf numFmtId="0" fontId="4" fillId="2" borderId="1" xfId="0" applyFont="1" applyFill="1" applyBorder="1"/>
    <xf numFmtId="0" fontId="4" fillId="2" borderId="2" xfId="0" applyFont="1" applyFill="1" applyBorder="1" applyAlignment="1">
      <alignment horizontal="center"/>
    </xf>
    <xf numFmtId="0" fontId="0" fillId="0" borderId="0" xfId="0" applyAlignment="1">
      <alignment vertical="center"/>
    </xf>
    <xf numFmtId="0" fontId="6" fillId="0" borderId="0" xfId="0" applyFont="1" applyAlignment="1">
      <alignment vertical="center"/>
    </xf>
    <xf numFmtId="0" fontId="7" fillId="0" borderId="1" xfId="0" applyFont="1" applyBorder="1" applyAlignment="1">
      <alignment horizontal="center" vertical="center"/>
    </xf>
    <xf numFmtId="0" fontId="7" fillId="0" borderId="1" xfId="0" applyFont="1" applyBorder="1" applyAlignment="1">
      <alignment vertical="center"/>
    </xf>
    <xf numFmtId="0" fontId="6" fillId="0" borderId="1" xfId="0" applyFont="1" applyBorder="1" applyAlignment="1">
      <alignment vertical="center"/>
    </xf>
    <xf numFmtId="0" fontId="11" fillId="4" borderId="1" xfId="1" applyFont="1" applyFill="1" applyBorder="1" applyAlignment="1">
      <alignment horizontal="center"/>
    </xf>
    <xf numFmtId="0" fontId="1" fillId="8" borderId="1" xfId="0" applyFont="1" applyFill="1" applyBorder="1"/>
    <xf numFmtId="0" fontId="4" fillId="8" borderId="1" xfId="0" applyFont="1" applyFill="1" applyBorder="1"/>
    <xf numFmtId="0" fontId="13" fillId="0" borderId="0" xfId="0" applyFont="1" applyAlignment="1">
      <alignment horizontal="left" vertical="center" indent="1"/>
    </xf>
    <xf numFmtId="0" fontId="14" fillId="8" borderId="1" xfId="0" applyFont="1" applyFill="1" applyBorder="1" applyAlignment="1">
      <alignment vertical="center"/>
    </xf>
    <xf numFmtId="0" fontId="13" fillId="0" borderId="1" xfId="0" applyFont="1" applyBorder="1" applyAlignment="1">
      <alignment vertical="center"/>
    </xf>
    <xf numFmtId="0" fontId="16" fillId="0" borderId="1" xfId="0" applyFont="1" applyBorder="1" applyAlignment="1">
      <alignment vertical="center"/>
    </xf>
    <xf numFmtId="0" fontId="12" fillId="0" borderId="1" xfId="0" applyFont="1" applyBorder="1" applyAlignment="1">
      <alignment vertical="center"/>
    </xf>
    <xf numFmtId="0" fontId="17" fillId="0" borderId="1" xfId="0" applyFont="1" applyBorder="1" applyAlignment="1">
      <alignment vertical="center"/>
    </xf>
    <xf numFmtId="0" fontId="18" fillId="0" borderId="1" xfId="0" applyFont="1" applyBorder="1" applyAlignment="1">
      <alignment vertical="center"/>
    </xf>
    <xf numFmtId="0" fontId="19" fillId="0" borderId="1" xfId="0" applyFont="1" applyBorder="1" applyAlignment="1">
      <alignment vertical="center"/>
    </xf>
    <xf numFmtId="0" fontId="20" fillId="0" borderId="1" xfId="0" applyFont="1" applyBorder="1" applyAlignment="1">
      <alignment vertical="center"/>
    </xf>
    <xf numFmtId="0" fontId="1" fillId="0" borderId="0" xfId="0" applyFont="1" applyAlignment="1">
      <alignment vertical="top"/>
    </xf>
    <xf numFmtId="0" fontId="1" fillId="0" borderId="0" xfId="0" applyFont="1" applyAlignment="1">
      <alignment vertical="top" wrapText="1"/>
    </xf>
    <xf numFmtId="0" fontId="0" fillId="9" borderId="0" xfId="0" applyFill="1" applyAlignment="1">
      <alignment vertical="top"/>
    </xf>
    <xf numFmtId="0" fontId="0" fillId="0" borderId="0" xfId="0" applyAlignment="1">
      <alignment vertical="top"/>
    </xf>
    <xf numFmtId="0" fontId="0" fillId="0" borderId="0" xfId="0" applyAlignment="1">
      <alignment vertical="top" wrapText="1"/>
    </xf>
    <xf numFmtId="0" fontId="0" fillId="0" borderId="0" xfId="0" quotePrefix="1" applyAlignment="1">
      <alignment vertical="top" wrapText="1"/>
    </xf>
    <xf numFmtId="0" fontId="21" fillId="0" borderId="0" xfId="0" applyFont="1" applyAlignment="1">
      <alignment vertical="top" wrapText="1"/>
    </xf>
    <xf numFmtId="0" fontId="22" fillId="6" borderId="0" xfId="0" applyFont="1" applyFill="1" applyAlignment="1">
      <alignment vertical="top" wrapText="1"/>
    </xf>
    <xf numFmtId="0" fontId="24" fillId="6" borderId="0" xfId="0" applyFont="1" applyFill="1" applyAlignment="1">
      <alignment vertical="top" wrapText="1"/>
    </xf>
    <xf numFmtId="0" fontId="0" fillId="9" borderId="0" xfId="0" applyFill="1" applyAlignment="1">
      <alignment vertical="top" wrapText="1"/>
    </xf>
    <xf numFmtId="0" fontId="25" fillId="9" borderId="0" xfId="0" applyFont="1" applyFill="1" applyAlignment="1">
      <alignment horizontal="right" vertical="center"/>
    </xf>
    <xf numFmtId="0" fontId="0" fillId="9" borderId="0" xfId="0" applyFill="1"/>
    <xf numFmtId="0" fontId="27" fillId="9" borderId="0" xfId="0" applyFont="1" applyFill="1"/>
    <xf numFmtId="0" fontId="0" fillId="6" borderId="0" xfId="0" applyFill="1" applyAlignment="1">
      <alignment vertical="top" wrapText="1"/>
    </xf>
    <xf numFmtId="0" fontId="28" fillId="9" borderId="0" xfId="0" applyFont="1" applyFill="1" applyAlignment="1">
      <alignment vertical="top" wrapText="1"/>
    </xf>
    <xf numFmtId="0" fontId="21" fillId="6" borderId="0" xfId="0" applyFont="1" applyFill="1" applyAlignment="1">
      <alignment vertical="top" wrapText="1"/>
    </xf>
    <xf numFmtId="0" fontId="21" fillId="0" borderId="0" xfId="0" applyFont="1" applyAlignment="1">
      <alignment wrapText="1"/>
    </xf>
    <xf numFmtId="0" fontId="27" fillId="0" borderId="0" xfId="0" applyFont="1"/>
    <xf numFmtId="0" fontId="0" fillId="6" borderId="0" xfId="0" applyFill="1" applyAlignment="1">
      <alignment vertical="top"/>
    </xf>
    <xf numFmtId="0" fontId="32" fillId="0" borderId="1" xfId="0" applyFont="1" applyBorder="1" applyAlignment="1">
      <alignment horizontal="left" vertical="center"/>
    </xf>
    <xf numFmtId="0" fontId="33" fillId="0" borderId="1" xfId="0" applyFont="1" applyBorder="1" applyAlignment="1">
      <alignment horizontal="left" vertical="center"/>
    </xf>
    <xf numFmtId="0" fontId="30" fillId="10" borderId="1" xfId="0" applyFont="1" applyFill="1" applyBorder="1" applyAlignment="1">
      <alignment horizontal="left" vertical="center"/>
    </xf>
    <xf numFmtId="0" fontId="31" fillId="10" borderId="1" xfId="0" applyFont="1" applyFill="1" applyBorder="1" applyAlignment="1">
      <alignment horizontal="left" vertical="center"/>
    </xf>
    <xf numFmtId="0" fontId="30" fillId="10" borderId="2" xfId="0" applyFont="1" applyFill="1" applyBorder="1" applyAlignment="1">
      <alignment horizontal="left" vertical="center"/>
    </xf>
    <xf numFmtId="0" fontId="0" fillId="0" borderId="0" xfId="0" applyAlignment="1">
      <alignment wrapText="1"/>
    </xf>
    <xf numFmtId="0" fontId="32" fillId="0" borderId="1" xfId="0" applyFont="1" applyBorder="1" applyAlignment="1">
      <alignment horizontal="left" vertical="center" wrapText="1"/>
    </xf>
    <xf numFmtId="0" fontId="30" fillId="11" borderId="1" xfId="0" applyFont="1" applyFill="1" applyBorder="1" applyAlignment="1">
      <alignment horizontal="left" vertical="center" wrapText="1"/>
    </xf>
    <xf numFmtId="0" fontId="32" fillId="0" borderId="0" xfId="0" applyFont="1" applyAlignment="1">
      <alignment horizontal="left" vertical="center" wrapText="1"/>
    </xf>
    <xf numFmtId="0" fontId="30" fillId="12" borderId="3" xfId="0" applyFont="1" applyFill="1" applyBorder="1" applyAlignment="1">
      <alignment vertical="center" wrapText="1"/>
    </xf>
    <xf numFmtId="0" fontId="30" fillId="12" borderId="4" xfId="0" applyFont="1" applyFill="1" applyBorder="1" applyAlignment="1">
      <alignment vertical="center" wrapText="1"/>
    </xf>
    <xf numFmtId="0" fontId="30" fillId="12" borderId="4" xfId="0" applyFont="1" applyFill="1" applyBorder="1" applyAlignment="1">
      <alignment vertical="center"/>
    </xf>
    <xf numFmtId="0" fontId="24" fillId="0" borderId="5" xfId="0" applyFont="1" applyBorder="1" applyAlignment="1">
      <alignment vertical="center" wrapText="1"/>
    </xf>
    <xf numFmtId="0" fontId="24" fillId="0" borderId="6" xfId="0" applyFont="1" applyBorder="1" applyAlignment="1">
      <alignment vertical="center" wrapText="1"/>
    </xf>
    <xf numFmtId="0" fontId="32" fillId="0" borderId="6" xfId="0" applyFont="1" applyBorder="1" applyAlignment="1">
      <alignment vertical="center" wrapText="1"/>
    </xf>
    <xf numFmtId="0" fontId="24" fillId="0" borderId="6" xfId="0" applyFont="1" applyBorder="1" applyAlignment="1">
      <alignment vertical="center"/>
    </xf>
    <xf numFmtId="0" fontId="24" fillId="0" borderId="7" xfId="0" applyFont="1" applyBorder="1" applyAlignment="1">
      <alignment vertical="center" wrapText="1"/>
    </xf>
    <xf numFmtId="0" fontId="35" fillId="0" borderId="9" xfId="0" applyFont="1" applyBorder="1" applyAlignment="1">
      <alignment wrapText="1"/>
    </xf>
    <xf numFmtId="0" fontId="35" fillId="0" borderId="0" xfId="0" applyFont="1"/>
    <xf numFmtId="0" fontId="35" fillId="0" borderId="0" xfId="0" applyFont="1" applyAlignment="1">
      <alignment wrapText="1"/>
    </xf>
    <xf numFmtId="0" fontId="35" fillId="0" borderId="0" xfId="0" applyFont="1" applyAlignment="1">
      <alignment horizontal="left" wrapText="1"/>
    </xf>
    <xf numFmtId="0" fontId="35" fillId="0" borderId="0" xfId="0" applyFont="1" applyAlignment="1">
      <alignment vertical="center"/>
    </xf>
    <xf numFmtId="0" fontId="36" fillId="0" borderId="9" xfId="0" applyFont="1" applyBorder="1" applyAlignment="1">
      <alignment wrapText="1"/>
    </xf>
    <xf numFmtId="0" fontId="36" fillId="0" borderId="0" xfId="0" applyFont="1" applyAlignment="1">
      <alignment horizontal="left" wrapText="1"/>
    </xf>
    <xf numFmtId="0" fontId="36" fillId="0" borderId="0" xfId="0" applyFont="1" applyAlignment="1">
      <alignment vertical="center"/>
    </xf>
    <xf numFmtId="0" fontId="36" fillId="0" borderId="0" xfId="0" applyFont="1"/>
    <xf numFmtId="0" fontId="35" fillId="0" borderId="0" xfId="0" applyFont="1" applyAlignment="1">
      <alignment vertical="center" wrapText="1"/>
    </xf>
    <xf numFmtId="0" fontId="38" fillId="0" borderId="9" xfId="0" applyFont="1" applyBorder="1" applyAlignment="1">
      <alignment wrapText="1"/>
    </xf>
    <xf numFmtId="0" fontId="39" fillId="0" borderId="1" xfId="0" applyFont="1" applyBorder="1"/>
    <xf numFmtId="0" fontId="39" fillId="0" borderId="1" xfId="0" applyFont="1" applyBorder="1" applyAlignment="1">
      <alignment horizontal="center"/>
    </xf>
    <xf numFmtId="0" fontId="39" fillId="0" borderId="0" xfId="0" applyFont="1"/>
    <xf numFmtId="0" fontId="40" fillId="0" borderId="1" xfId="0" applyFont="1" applyBorder="1" applyAlignment="1">
      <alignment horizontal="center"/>
    </xf>
    <xf numFmtId="0" fontId="39" fillId="0" borderId="1" xfId="0" applyFont="1" applyBorder="1" applyAlignment="1">
      <alignment horizontal="center" vertical="center"/>
    </xf>
    <xf numFmtId="0" fontId="0" fillId="0" borderId="1" xfId="0" applyBorder="1" applyAlignment="1">
      <alignment horizontal="center" vertical="center"/>
    </xf>
    <xf numFmtId="0" fontId="0" fillId="14" borderId="1" xfId="0" applyFill="1" applyBorder="1" applyAlignment="1">
      <alignment horizontal="center"/>
    </xf>
    <xf numFmtId="0" fontId="0" fillId="14" borderId="1" xfId="0" applyFill="1" applyBorder="1" applyAlignment="1">
      <alignment horizontal="left"/>
    </xf>
    <xf numFmtId="0" fontId="0" fillId="3" borderId="1" xfId="0" applyFill="1" applyBorder="1" applyAlignment="1">
      <alignment horizontal="center"/>
    </xf>
    <xf numFmtId="0" fontId="0" fillId="3" borderId="1" xfId="0" applyFill="1" applyBorder="1" applyAlignment="1">
      <alignment horizontal="center" wrapText="1"/>
    </xf>
    <xf numFmtId="0" fontId="0" fillId="3" borderId="1" xfId="0" applyFill="1" applyBorder="1" applyAlignment="1">
      <alignment horizontal="left"/>
    </xf>
    <xf numFmtId="0" fontId="0" fillId="15" borderId="1" xfId="0" applyFill="1" applyBorder="1" applyAlignment="1">
      <alignment horizontal="left"/>
    </xf>
    <xf numFmtId="0" fontId="0" fillId="17" borderId="1" xfId="0" applyFill="1" applyBorder="1" applyAlignment="1">
      <alignment horizontal="left"/>
    </xf>
    <xf numFmtId="0" fontId="0" fillId="0" borderId="1" xfId="0" applyBorder="1" applyAlignment="1">
      <alignment horizontal="left" vertical="center"/>
    </xf>
    <xf numFmtId="0" fontId="0" fillId="0" borderId="0" xfId="0" applyAlignment="1">
      <alignment horizontal="left" vertical="center"/>
    </xf>
    <xf numFmtId="0" fontId="0" fillId="0" borderId="11" xfId="0" applyBorder="1" applyAlignment="1">
      <alignment horizontal="center" vertical="center"/>
    </xf>
    <xf numFmtId="0" fontId="0" fillId="0" borderId="13" xfId="0" applyBorder="1"/>
    <xf numFmtId="0" fontId="1" fillId="18" borderId="1" xfId="0" applyFont="1" applyFill="1" applyBorder="1" applyAlignment="1">
      <alignment horizontal="center"/>
    </xf>
    <xf numFmtId="0" fontId="1" fillId="18" borderId="1" xfId="0" applyFont="1" applyFill="1" applyBorder="1" applyAlignment="1">
      <alignment horizontal="left" vertical="center"/>
    </xf>
    <xf numFmtId="0" fontId="41" fillId="18" borderId="1" xfId="0" applyFont="1" applyFill="1" applyBorder="1" applyAlignment="1">
      <alignment horizontal="center" vertical="center"/>
    </xf>
    <xf numFmtId="0" fontId="0" fillId="0" borderId="1" xfId="0" applyBorder="1" applyAlignment="1">
      <alignment vertical="center"/>
    </xf>
    <xf numFmtId="0" fontId="0" fillId="0" borderId="0" xfId="0" applyAlignment="1">
      <alignment horizontal="center" vertical="center"/>
    </xf>
    <xf numFmtId="0" fontId="0" fillId="0" borderId="11" xfId="0" applyBorder="1"/>
    <xf numFmtId="0" fontId="0" fillId="0" borderId="14" xfId="0" applyBorder="1"/>
    <xf numFmtId="0" fontId="0" fillId="0" borderId="0" xfId="0" pivotButton="1"/>
    <xf numFmtId="0" fontId="0" fillId="0" borderId="15" xfId="0" applyBorder="1"/>
    <xf numFmtId="0" fontId="2" fillId="4" borderId="1" xfId="0" applyFont="1" applyFill="1" applyBorder="1" applyAlignment="1">
      <alignment horizontal="center" wrapText="1"/>
    </xf>
    <xf numFmtId="0" fontId="9" fillId="13" borderId="1" xfId="1" applyFill="1" applyBorder="1" applyAlignment="1">
      <alignment horizontal="center" wrapText="1"/>
    </xf>
    <xf numFmtId="0" fontId="42" fillId="0" borderId="1" xfId="0" applyFont="1" applyBorder="1"/>
    <xf numFmtId="0" fontId="0" fillId="18" borderId="11" xfId="0" applyFill="1" applyBorder="1" applyAlignment="1">
      <alignment horizontal="center"/>
    </xf>
    <xf numFmtId="0" fontId="0" fillId="18" borderId="1" xfId="0" applyFill="1" applyBorder="1" applyAlignment="1">
      <alignment horizontal="center" wrapText="1"/>
    </xf>
    <xf numFmtId="0" fontId="0" fillId="18" borderId="1" xfId="0" applyFill="1" applyBorder="1" applyAlignment="1">
      <alignment horizontal="center"/>
    </xf>
    <xf numFmtId="0" fontId="0" fillId="0" borderId="15" xfId="0" applyBorder="1" applyAlignment="1">
      <alignment vertical="center"/>
    </xf>
    <xf numFmtId="0" fontId="0" fillId="0" borderId="15" xfId="0" applyBorder="1" applyAlignment="1">
      <alignment horizontal="center" vertical="center"/>
    </xf>
    <xf numFmtId="0" fontId="0" fillId="0" borderId="12" xfId="0" applyBorder="1" applyAlignment="1">
      <alignment horizontal="center" vertical="center"/>
    </xf>
    <xf numFmtId="0" fontId="0" fillId="16" borderId="1" xfId="0" applyFill="1" applyBorder="1"/>
    <xf numFmtId="0" fontId="3" fillId="16" borderId="1" xfId="0" applyFont="1" applyFill="1" applyBorder="1"/>
    <xf numFmtId="0" fontId="0" fillId="18" borderId="1" xfId="0" applyFill="1" applyBorder="1"/>
    <xf numFmtId="0" fontId="3" fillId="3" borderId="10" xfId="0" applyFont="1" applyFill="1" applyBorder="1" applyAlignment="1">
      <alignment horizontal="center" wrapText="1"/>
    </xf>
    <xf numFmtId="0" fontId="3" fillId="3" borderId="0" xfId="0" applyFont="1" applyFill="1" applyAlignment="1">
      <alignment horizontal="center" wrapText="1"/>
    </xf>
    <xf numFmtId="0" fontId="3" fillId="16" borderId="1" xfId="0" applyFont="1" applyFill="1" applyBorder="1" applyAlignment="1">
      <alignment horizontal="center"/>
    </xf>
    <xf numFmtId="0" fontId="41" fillId="16" borderId="1" xfId="0" applyFont="1" applyFill="1" applyBorder="1" applyAlignment="1">
      <alignment horizontal="center"/>
    </xf>
    <xf numFmtId="0" fontId="24" fillId="0" borderId="8" xfId="0" applyFont="1" applyBorder="1" applyAlignment="1">
      <alignment vertical="center"/>
    </xf>
    <xf numFmtId="0" fontId="24" fillId="0" borderId="5" xfId="0" applyFont="1" applyBorder="1" applyAlignment="1">
      <alignment vertical="center"/>
    </xf>
    <xf numFmtId="0" fontId="24" fillId="0" borderId="8" xfId="0" applyFont="1" applyBorder="1" applyAlignment="1">
      <alignment vertical="center" wrapText="1"/>
    </xf>
    <xf numFmtId="0" fontId="24" fillId="0" borderId="5" xfId="0" applyFont="1" applyBorder="1" applyAlignment="1">
      <alignment vertical="center" wrapText="1"/>
    </xf>
    <xf numFmtId="0" fontId="32" fillId="0" borderId="8" xfId="0" applyFont="1" applyBorder="1" applyAlignment="1">
      <alignment vertical="center" wrapText="1"/>
    </xf>
    <xf numFmtId="0" fontId="32" fillId="0" borderId="5" xfId="0" applyFont="1" applyBorder="1" applyAlignment="1">
      <alignment vertical="center" wrapText="1"/>
    </xf>
    <xf numFmtId="0" fontId="8" fillId="7" borderId="0" xfId="0" applyFont="1" applyFill="1" applyAlignment="1">
      <alignment horizontal="center" vertical="center"/>
    </xf>
    <xf numFmtId="0" fontId="0" fillId="0" borderId="0" xfId="0" applyAlignment="1">
      <alignment horizontal="center"/>
    </xf>
    <xf numFmtId="0" fontId="0" fillId="14" borderId="1" xfId="0" applyFill="1" applyBorder="1"/>
    <xf numFmtId="0" fontId="0" fillId="0" borderId="13" xfId="0" applyBorder="1" applyAlignment="1">
      <alignment horizontal="center" vertical="center"/>
    </xf>
    <xf numFmtId="0" fontId="0" fillId="0" borderId="2" xfId="0" applyBorder="1" applyAlignment="1">
      <alignment horizontal="center" vertical="center"/>
    </xf>
    <xf numFmtId="0" fontId="0" fillId="0" borderId="15" xfId="0" applyBorder="1" applyAlignment="1">
      <alignment horizontal="center" vertical="center"/>
    </xf>
    <xf numFmtId="0" fontId="44" fillId="0" borderId="1" xfId="0" applyFont="1" applyFill="1" applyBorder="1" applyAlignment="1">
      <alignment horizontal="center"/>
    </xf>
    <xf numFmtId="0" fontId="44" fillId="0" borderId="1" xfId="0" applyFont="1" applyBorder="1" applyAlignment="1">
      <alignment horizontal="center" wrapText="1"/>
    </xf>
    <xf numFmtId="0" fontId="44" fillId="0" borderId="1" xfId="0" applyFont="1" applyBorder="1" applyAlignment="1">
      <alignment horizontal="left"/>
    </xf>
    <xf numFmtId="0" fontId="44" fillId="0" borderId="1" xfId="0" applyFont="1" applyBorder="1"/>
    <xf numFmtId="0" fontId="44" fillId="0" borderId="1" xfId="0" applyFont="1" applyBorder="1" applyAlignment="1">
      <alignment horizontal="center"/>
    </xf>
    <xf numFmtId="0" fontId="44" fillId="0" borderId="1" xfId="0" applyFont="1" applyBorder="1" applyAlignment="1">
      <alignment horizontal="center" vertical="center"/>
    </xf>
    <xf numFmtId="0" fontId="44" fillId="3" borderId="1" xfId="0" applyFont="1" applyFill="1" applyBorder="1"/>
    <xf numFmtId="0" fontId="44" fillId="3" borderId="1" xfId="0" applyFont="1" applyFill="1" applyBorder="1" applyAlignment="1">
      <alignment horizontal="center"/>
    </xf>
    <xf numFmtId="0" fontId="43" fillId="0" borderId="1" xfId="0" applyFont="1" applyBorder="1" applyAlignment="1">
      <alignment wrapText="1"/>
    </xf>
    <xf numFmtId="0" fontId="43" fillId="0" borderId="13" xfId="0" applyFont="1" applyBorder="1" applyAlignment="1">
      <alignment horizontal="left" vertical="center" wrapText="1"/>
    </xf>
    <xf numFmtId="0" fontId="43" fillId="0" borderId="2" xfId="0" applyFont="1" applyBorder="1" applyAlignment="1">
      <alignment horizontal="left" vertical="center" wrapText="1"/>
    </xf>
    <xf numFmtId="0" fontId="43" fillId="0" borderId="15" xfId="0" applyFont="1" applyBorder="1" applyAlignment="1">
      <alignment horizontal="left" vertical="center" wrapText="1"/>
    </xf>
    <xf numFmtId="0" fontId="43" fillId="0" borderId="1" xfId="0" applyFont="1" applyBorder="1"/>
    <xf numFmtId="0" fontId="43" fillId="0" borderId="1" xfId="0" applyFont="1" applyFill="1" applyBorder="1" applyAlignment="1">
      <alignment wrapText="1"/>
    </xf>
    <xf numFmtId="0" fontId="0" fillId="0" borderId="13" xfId="0" applyFont="1" applyBorder="1" applyAlignment="1">
      <alignment horizontal="center"/>
    </xf>
    <xf numFmtId="0" fontId="0" fillId="0" borderId="2" xfId="0" applyFont="1" applyBorder="1" applyAlignment="1">
      <alignment horizontal="center"/>
    </xf>
    <xf numFmtId="0" fontId="0" fillId="0" borderId="15" xfId="0" applyFont="1" applyBorder="1" applyAlignment="1">
      <alignment horizontal="center"/>
    </xf>
    <xf numFmtId="0" fontId="0" fillId="0" borderId="1" xfId="0" applyFont="1" applyBorder="1" applyAlignment="1">
      <alignment horizontal="center"/>
    </xf>
    <xf numFmtId="0" fontId="43" fillId="0" borderId="13" xfId="0" applyFont="1" applyFill="1" applyBorder="1" applyAlignment="1">
      <alignment horizontal="left" vertical="center" wrapText="1"/>
    </xf>
    <xf numFmtId="0" fontId="43" fillId="0" borderId="2" xfId="0" applyFont="1" applyFill="1" applyBorder="1" applyAlignment="1">
      <alignment horizontal="left" vertical="center" wrapText="1"/>
    </xf>
    <xf numFmtId="0" fontId="43" fillId="0" borderId="15" xfId="0" applyFont="1" applyFill="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xf>
    <xf numFmtId="0" fontId="0" fillId="16" borderId="1" xfId="0" applyFill="1" applyBorder="1" applyAlignment="1">
      <alignment horizontal="left"/>
    </xf>
  </cellXfs>
  <cellStyles count="2">
    <cellStyle name="Hyperlink" xfId="1" builtinId="8"/>
    <cellStyle name="Normal" xfId="0" builtinId="0"/>
  </cellStyles>
  <dxfs count="2">
    <dxf>
      <numFmt numFmtId="0" formatCode="General"/>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57F80F08-B62D-40A2-A0D6-EDDEDA4CF93D}" type="doc">
      <dgm:prSet loTypeId="urn:microsoft.com/office/officeart/2005/8/layout/process1" loCatId="process" qsTypeId="urn:microsoft.com/office/officeart/2005/8/quickstyle/simple1" qsCatId="simple" csTypeId="urn:microsoft.com/office/officeart/2005/8/colors/accent1_2" csCatId="accent1" phldr="1"/>
      <dgm:spPr/>
    </dgm:pt>
    <dgm:pt modelId="{652DCA4B-CEA5-49A0-8AD5-E3D6EB7AECEB}">
      <dgm:prSet phldrT="[Text]" custT="1"/>
      <dgm:spPr/>
      <dgm:t>
        <a:bodyPr/>
        <a:lstStyle/>
        <a:p>
          <a:pPr algn="ctr"/>
          <a:r>
            <a:rPr lang="en-US" sz="1400"/>
            <a:t>Requester create PR (S4) via Fiori App</a:t>
          </a:r>
        </a:p>
        <a:p>
          <a:pPr algn="ctr"/>
          <a:r>
            <a:rPr lang="en-US" sz="1400" b="0" i="0" u="none"/>
            <a:t>P.Org  C300</a:t>
          </a:r>
        </a:p>
        <a:p>
          <a:pPr algn="ctr"/>
          <a:r>
            <a:rPr lang="en-US" sz="1400" b="0" i="0" u="none"/>
            <a:t>P.Group F01</a:t>
          </a:r>
        </a:p>
        <a:p>
          <a:pPr algn="ctr"/>
          <a:r>
            <a:rPr lang="en-US" sz="1400" b="0" i="0" u="none"/>
            <a:t>Comp Code 3003</a:t>
          </a:r>
        </a:p>
        <a:p>
          <a:pPr algn="ctr"/>
          <a:r>
            <a:rPr lang="en-US" sz="1400" b="0" i="0" u="none"/>
            <a:t>Plant C300</a:t>
          </a:r>
        </a:p>
        <a:p>
          <a:pPr algn="ctr"/>
          <a:r>
            <a:rPr lang="en-US" sz="1400"/>
            <a:t>Add requisioner &amp; recipient field</a:t>
          </a:r>
        </a:p>
        <a:p>
          <a:pPr algn="ctr"/>
          <a:r>
            <a:rPr lang="en-US" sz="1400"/>
            <a:t>Select ACC without GR</a:t>
          </a:r>
        </a:p>
        <a:p>
          <a:pPr algn="ctr"/>
          <a:r>
            <a:rPr lang="en-US" sz="1400"/>
            <a:t>Save the PR</a:t>
          </a:r>
        </a:p>
        <a:p>
          <a:pPr algn="ctr"/>
          <a:r>
            <a:rPr lang="en-US" sz="1400"/>
            <a:t>Trigger the single step r</a:t>
          </a:r>
          <a:r>
            <a:rPr lang="en-US" sz="1400" b="0" i="0" u="none"/>
            <a:t>elease Strategy  in S4</a:t>
          </a:r>
          <a:endParaRPr lang="en-US" sz="1400"/>
        </a:p>
        <a:p>
          <a:pPr algn="ctr"/>
          <a:endParaRPr lang="en-DE" sz="2500"/>
        </a:p>
      </dgm:t>
    </dgm:pt>
    <dgm:pt modelId="{9B45E1BC-CAB4-4F64-A6BC-C7089A921EB8}" type="parTrans" cxnId="{A8903F5B-9851-416E-888B-FFC0EBD6E462}">
      <dgm:prSet/>
      <dgm:spPr/>
      <dgm:t>
        <a:bodyPr/>
        <a:lstStyle/>
        <a:p>
          <a:endParaRPr lang="en-DE"/>
        </a:p>
      </dgm:t>
    </dgm:pt>
    <dgm:pt modelId="{1D037621-A829-4FAC-BD56-723FB6063656}" type="sibTrans" cxnId="{A8903F5B-9851-416E-888B-FFC0EBD6E462}">
      <dgm:prSet/>
      <dgm:spPr/>
      <dgm:t>
        <a:bodyPr/>
        <a:lstStyle/>
        <a:p>
          <a:endParaRPr lang="en-DE"/>
        </a:p>
      </dgm:t>
    </dgm:pt>
    <dgm:pt modelId="{02674648-386F-4A8F-A311-3BFD0A3D722E}">
      <dgm:prSet phldrT="[Text]" custT="1"/>
      <dgm:spPr/>
      <dgm:t>
        <a:bodyPr/>
        <a:lstStyle/>
        <a:p>
          <a:pPr algn="l"/>
          <a:endParaRPr lang="en-US" sz="1100" b="0" i="0" u="none"/>
        </a:p>
        <a:p>
          <a:pPr algn="l"/>
          <a:endParaRPr lang="en-US" sz="1400" b="0" i="0" u="none"/>
        </a:p>
        <a:p>
          <a:pPr algn="l"/>
          <a:r>
            <a:rPr lang="en-US" sz="1400" b="0" i="0" u="none"/>
            <a:t>After PR save event</a:t>
          </a:r>
          <a:endParaRPr lang="en-US" sz="1800" b="0" i="0" u="none"/>
        </a:p>
        <a:p>
          <a:pPr algn="l"/>
          <a:r>
            <a:rPr lang="en-US" sz="1400" b="0" i="0" u="none"/>
            <a:t>BTP trigeer the notification to requester to verfiy the PR details  via BTP inbox.</a:t>
          </a:r>
        </a:p>
        <a:p>
          <a:pPr algn="l"/>
          <a:r>
            <a:rPr lang="en-US" sz="1400" b="0" i="0" u="none"/>
            <a:t>After requester approval, BTP Send the 	email notification mail to GBS Buyers (Functional group F01 responsibles).</a:t>
          </a:r>
        </a:p>
        <a:p>
          <a:pPr algn="l"/>
          <a:r>
            <a:rPr lang="en-US" sz="1400" b="0" i="0" u="none"/>
            <a:t>GBS buyer will change the	P.Group to 	Individual buyer</a:t>
          </a:r>
        </a:p>
        <a:p>
          <a:pPr algn="l"/>
          <a:r>
            <a:rPr lang="en-US" sz="1400" b="0" i="0"/>
            <a:t>BTP Trigger the notification mail to Individual buyer (IXX).</a:t>
          </a:r>
        </a:p>
        <a:p>
          <a:pPr algn="l"/>
          <a:r>
            <a:rPr lang="en-US" sz="1400" b="0" i="0"/>
            <a:t>Invidual buyer will complete Purchase Requisition.</a:t>
          </a:r>
        </a:p>
        <a:p>
          <a:pPr algn="l"/>
          <a:r>
            <a:rPr lang="en-US" sz="1400" b="0" i="0" u="none"/>
            <a:t>PR release strategy set to released </a:t>
          </a:r>
        </a:p>
        <a:p>
          <a:pPr algn="ctr"/>
          <a:endParaRPr lang="en-US" sz="1100" b="0" i="0" u="none"/>
        </a:p>
        <a:p>
          <a:pPr algn="ctr"/>
          <a:endParaRPr lang="en-US" sz="1100"/>
        </a:p>
        <a:p>
          <a:pPr algn="ctr"/>
          <a:endParaRPr lang="en-DE" sz="1100"/>
        </a:p>
        <a:p>
          <a:pPr algn="ctr"/>
          <a:endParaRPr lang="en-DE" sz="1100"/>
        </a:p>
      </dgm:t>
    </dgm:pt>
    <dgm:pt modelId="{98FED25C-66A9-4FF3-8EA5-B7D63F35E98E}" type="parTrans" cxnId="{5BF84E59-7B84-457F-BFB0-318A84F75F8D}">
      <dgm:prSet/>
      <dgm:spPr/>
      <dgm:t>
        <a:bodyPr/>
        <a:lstStyle/>
        <a:p>
          <a:endParaRPr lang="en-DE"/>
        </a:p>
      </dgm:t>
    </dgm:pt>
    <dgm:pt modelId="{6DB74084-C991-470E-A790-376A5135B5FE}" type="sibTrans" cxnId="{5BF84E59-7B84-457F-BFB0-318A84F75F8D}">
      <dgm:prSet/>
      <dgm:spPr/>
      <dgm:t>
        <a:bodyPr/>
        <a:lstStyle/>
        <a:p>
          <a:endParaRPr lang="en-DE"/>
        </a:p>
      </dgm:t>
    </dgm:pt>
    <dgm:pt modelId="{AFD05659-8D10-42C2-AB05-53278776CF4D}">
      <dgm:prSet phldrT="[Text]" custT="1"/>
      <dgm:spPr/>
      <dgm:t>
        <a:bodyPr/>
        <a:lstStyle/>
        <a:p>
          <a:pPr algn="l"/>
          <a:r>
            <a:rPr lang="en-US" sz="1400"/>
            <a:t>Create the purchase order from S4 by using fiori app- manage Purchase order.</a:t>
          </a:r>
        </a:p>
        <a:p>
          <a:pPr algn="l"/>
          <a:r>
            <a:rPr lang="en-US" sz="1400"/>
            <a:t>Automatically trigger the single step r</a:t>
          </a:r>
          <a:r>
            <a:rPr lang="en-US" sz="1400" b="0" i="0" u="none"/>
            <a:t>elease Strategy  in S4 .</a:t>
          </a:r>
        </a:p>
        <a:p>
          <a:pPr algn="l"/>
          <a:r>
            <a:rPr lang="en-US" sz="1400" b="0" i="0" u="none"/>
            <a:t>Receive BTP notificaiton to  verify the PO details.</a:t>
          </a:r>
        </a:p>
        <a:p>
          <a:pPr algn="l"/>
          <a:r>
            <a:rPr lang="en-US" sz="1400" b="0" i="0" u="none"/>
            <a:t>If PO value is more than 50K then select the expert from BTP form.</a:t>
          </a:r>
        </a:p>
        <a:p>
          <a:pPr algn="l"/>
          <a:r>
            <a:rPr lang="en-US" sz="1400" b="0" i="0" u="none"/>
            <a:t>Expert  will receive the PO to confirm, it somechanges are needed then inform purchaser to make the changes in PO.</a:t>
          </a:r>
        </a:p>
        <a:p>
          <a:pPr algn="l"/>
          <a:r>
            <a:rPr lang="en-US" sz="1400" b="0" i="0" u="none"/>
            <a:t>After procurement expert , PO will be send to SAT approval </a:t>
          </a:r>
          <a:endParaRPr lang="en-DE" sz="1400"/>
        </a:p>
      </dgm:t>
    </dgm:pt>
    <dgm:pt modelId="{DFBE0E91-6C33-4FA1-B00A-06429FC9EE7B}" type="parTrans" cxnId="{62D4C33E-86DD-4B3D-B4E5-56BBD1F6B1FA}">
      <dgm:prSet/>
      <dgm:spPr/>
      <dgm:t>
        <a:bodyPr/>
        <a:lstStyle/>
        <a:p>
          <a:endParaRPr lang="en-DE"/>
        </a:p>
      </dgm:t>
    </dgm:pt>
    <dgm:pt modelId="{46293B84-A431-4648-9096-DE839B64FC4D}" type="sibTrans" cxnId="{62D4C33E-86DD-4B3D-B4E5-56BBD1F6B1FA}">
      <dgm:prSet/>
      <dgm:spPr/>
      <dgm:t>
        <a:bodyPr/>
        <a:lstStyle/>
        <a:p>
          <a:endParaRPr lang="en-DE"/>
        </a:p>
      </dgm:t>
    </dgm:pt>
    <dgm:pt modelId="{482F4173-7135-410F-8AA0-AA962F95B33B}">
      <dgm:prSet phldrT="[Text]" custT="1"/>
      <dgm:spPr/>
      <dgm:t>
        <a:bodyPr/>
        <a:lstStyle/>
        <a:p>
          <a:pPr algn="l"/>
          <a:endParaRPr lang="en-US" sz="1100" u="none"/>
        </a:p>
        <a:p>
          <a:pPr algn="ctr"/>
          <a:endParaRPr lang="en-US" sz="1100"/>
        </a:p>
        <a:p>
          <a:pPr algn="l"/>
          <a:r>
            <a:rPr lang="en-US" sz="1400"/>
            <a:t>Purchaser verfication Step</a:t>
          </a:r>
        </a:p>
        <a:p>
          <a:pPr algn="l"/>
          <a:r>
            <a:rPr lang="en-US" sz="1400"/>
            <a:t>Trigger  Expert step</a:t>
          </a:r>
        </a:p>
        <a:p>
          <a:pPr algn="l"/>
          <a:r>
            <a:rPr lang="en-US" sz="1400"/>
            <a:t>	Criteria ?</a:t>
          </a:r>
        </a:p>
        <a:p>
          <a:pPr algn="l"/>
          <a:r>
            <a:rPr lang="en-US" sz="1400"/>
            <a:t>Determine SAT Approvers</a:t>
          </a:r>
        </a:p>
        <a:p>
          <a:pPr algn="ctr"/>
          <a:r>
            <a:rPr lang="en-US" sz="1100"/>
            <a:t> </a:t>
          </a:r>
        </a:p>
        <a:p>
          <a:pPr algn="ctr"/>
          <a:endParaRPr lang="en-DE" sz="1100"/>
        </a:p>
      </dgm:t>
    </dgm:pt>
    <dgm:pt modelId="{12A99661-F1BF-4904-8D6F-14E6760154BB}" type="parTrans" cxnId="{5D8795C8-32C3-42F7-A4D8-ACFC5D8312A4}">
      <dgm:prSet/>
      <dgm:spPr/>
      <dgm:t>
        <a:bodyPr/>
        <a:lstStyle/>
        <a:p>
          <a:endParaRPr lang="en-DE"/>
        </a:p>
      </dgm:t>
    </dgm:pt>
    <dgm:pt modelId="{5F20F727-D141-4759-B245-85F01B0A7F40}" type="sibTrans" cxnId="{5D8795C8-32C3-42F7-A4D8-ACFC5D8312A4}">
      <dgm:prSet/>
      <dgm:spPr/>
      <dgm:t>
        <a:bodyPr/>
        <a:lstStyle/>
        <a:p>
          <a:endParaRPr lang="en-DE"/>
        </a:p>
      </dgm:t>
    </dgm:pt>
    <dgm:pt modelId="{3001C848-43E5-47CD-B7FD-49B3BBAB0464}" type="pres">
      <dgm:prSet presAssocID="{57F80F08-B62D-40A2-A0D6-EDDEDA4CF93D}" presName="Name0" presStyleCnt="0">
        <dgm:presLayoutVars>
          <dgm:dir/>
          <dgm:resizeHandles val="exact"/>
        </dgm:presLayoutVars>
      </dgm:prSet>
      <dgm:spPr/>
    </dgm:pt>
    <dgm:pt modelId="{6EA2E351-AAC6-40C4-8F5D-DAB3271A3EC9}" type="pres">
      <dgm:prSet presAssocID="{652DCA4B-CEA5-49A0-8AD5-E3D6EB7AECEB}" presName="node" presStyleLbl="node1" presStyleIdx="0" presStyleCnt="4">
        <dgm:presLayoutVars>
          <dgm:bulletEnabled val="1"/>
        </dgm:presLayoutVars>
      </dgm:prSet>
      <dgm:spPr/>
    </dgm:pt>
    <dgm:pt modelId="{681A7242-C4F8-46EA-A027-025C539C8F5C}" type="pres">
      <dgm:prSet presAssocID="{1D037621-A829-4FAC-BD56-723FB6063656}" presName="sibTrans" presStyleLbl="sibTrans2D1" presStyleIdx="0" presStyleCnt="3"/>
      <dgm:spPr/>
    </dgm:pt>
    <dgm:pt modelId="{B7A66207-A739-4B7A-9D98-00530F79F955}" type="pres">
      <dgm:prSet presAssocID="{1D037621-A829-4FAC-BD56-723FB6063656}" presName="connectorText" presStyleLbl="sibTrans2D1" presStyleIdx="0" presStyleCnt="3"/>
      <dgm:spPr/>
    </dgm:pt>
    <dgm:pt modelId="{5993B4E0-CAAD-4A2D-8CC5-53C1F7175E2A}" type="pres">
      <dgm:prSet presAssocID="{02674648-386F-4A8F-A311-3BFD0A3D722E}" presName="node" presStyleLbl="node1" presStyleIdx="1" presStyleCnt="4">
        <dgm:presLayoutVars>
          <dgm:bulletEnabled val="1"/>
        </dgm:presLayoutVars>
      </dgm:prSet>
      <dgm:spPr/>
    </dgm:pt>
    <dgm:pt modelId="{22A01A61-ABCE-4E03-ADB8-B06C607CBE74}" type="pres">
      <dgm:prSet presAssocID="{6DB74084-C991-470E-A790-376A5135B5FE}" presName="sibTrans" presStyleLbl="sibTrans2D1" presStyleIdx="1" presStyleCnt="3"/>
      <dgm:spPr/>
    </dgm:pt>
    <dgm:pt modelId="{4308EB93-7B20-4C34-8617-F23D899CD5C2}" type="pres">
      <dgm:prSet presAssocID="{6DB74084-C991-470E-A790-376A5135B5FE}" presName="connectorText" presStyleLbl="sibTrans2D1" presStyleIdx="1" presStyleCnt="3"/>
      <dgm:spPr/>
    </dgm:pt>
    <dgm:pt modelId="{38E58345-FAD6-4AEC-A760-F20CEB9AC1C7}" type="pres">
      <dgm:prSet presAssocID="{AFD05659-8D10-42C2-AB05-53278776CF4D}" presName="node" presStyleLbl="node1" presStyleIdx="2" presStyleCnt="4">
        <dgm:presLayoutVars>
          <dgm:bulletEnabled val="1"/>
        </dgm:presLayoutVars>
      </dgm:prSet>
      <dgm:spPr/>
    </dgm:pt>
    <dgm:pt modelId="{80FF9A71-0FB4-42A9-8C6B-2D9334461D20}" type="pres">
      <dgm:prSet presAssocID="{46293B84-A431-4648-9096-DE839B64FC4D}" presName="sibTrans" presStyleLbl="sibTrans2D1" presStyleIdx="2" presStyleCnt="3"/>
      <dgm:spPr/>
    </dgm:pt>
    <dgm:pt modelId="{945F4369-E32A-4080-BCBE-C98161EC2802}" type="pres">
      <dgm:prSet presAssocID="{46293B84-A431-4648-9096-DE839B64FC4D}" presName="connectorText" presStyleLbl="sibTrans2D1" presStyleIdx="2" presStyleCnt="3"/>
      <dgm:spPr/>
    </dgm:pt>
    <dgm:pt modelId="{056AC04C-B397-432D-9579-46B75DA97086}" type="pres">
      <dgm:prSet presAssocID="{482F4173-7135-410F-8AA0-AA962F95B33B}" presName="node" presStyleLbl="node1" presStyleIdx="3" presStyleCnt="4">
        <dgm:presLayoutVars>
          <dgm:bulletEnabled val="1"/>
        </dgm:presLayoutVars>
      </dgm:prSet>
      <dgm:spPr/>
    </dgm:pt>
  </dgm:ptLst>
  <dgm:cxnLst>
    <dgm:cxn modelId="{CF94FB16-5BA0-4C67-9C5B-65F05401DDDC}" type="presOf" srcId="{6DB74084-C991-470E-A790-376A5135B5FE}" destId="{22A01A61-ABCE-4E03-ADB8-B06C607CBE74}" srcOrd="0" destOrd="0" presId="urn:microsoft.com/office/officeart/2005/8/layout/process1"/>
    <dgm:cxn modelId="{62D4C33E-86DD-4B3D-B4E5-56BBD1F6B1FA}" srcId="{57F80F08-B62D-40A2-A0D6-EDDEDA4CF93D}" destId="{AFD05659-8D10-42C2-AB05-53278776CF4D}" srcOrd="2" destOrd="0" parTransId="{DFBE0E91-6C33-4FA1-B00A-06429FC9EE7B}" sibTransId="{46293B84-A431-4648-9096-DE839B64FC4D}"/>
    <dgm:cxn modelId="{A8903F5B-9851-416E-888B-FFC0EBD6E462}" srcId="{57F80F08-B62D-40A2-A0D6-EDDEDA4CF93D}" destId="{652DCA4B-CEA5-49A0-8AD5-E3D6EB7AECEB}" srcOrd="0" destOrd="0" parTransId="{9B45E1BC-CAB4-4F64-A6BC-C7089A921EB8}" sibTransId="{1D037621-A829-4FAC-BD56-723FB6063656}"/>
    <dgm:cxn modelId="{8839E45D-C6CF-4E88-A87C-0585AD54DE3F}" type="presOf" srcId="{482F4173-7135-410F-8AA0-AA962F95B33B}" destId="{056AC04C-B397-432D-9579-46B75DA97086}" srcOrd="0" destOrd="0" presId="urn:microsoft.com/office/officeart/2005/8/layout/process1"/>
    <dgm:cxn modelId="{89229F70-26BC-4C76-BF10-38E96B27A181}" type="presOf" srcId="{1D037621-A829-4FAC-BD56-723FB6063656}" destId="{681A7242-C4F8-46EA-A027-025C539C8F5C}" srcOrd="0" destOrd="0" presId="urn:microsoft.com/office/officeart/2005/8/layout/process1"/>
    <dgm:cxn modelId="{2AD38F74-599B-4172-89D2-B6DDB06F814E}" type="presOf" srcId="{652DCA4B-CEA5-49A0-8AD5-E3D6EB7AECEB}" destId="{6EA2E351-AAC6-40C4-8F5D-DAB3271A3EC9}" srcOrd="0" destOrd="0" presId="urn:microsoft.com/office/officeart/2005/8/layout/process1"/>
    <dgm:cxn modelId="{BA2B3E79-237D-4A31-B5F0-FFE0037DAD71}" type="presOf" srcId="{57F80F08-B62D-40A2-A0D6-EDDEDA4CF93D}" destId="{3001C848-43E5-47CD-B7FD-49B3BBAB0464}" srcOrd="0" destOrd="0" presId="urn:microsoft.com/office/officeart/2005/8/layout/process1"/>
    <dgm:cxn modelId="{5BF84E59-7B84-457F-BFB0-318A84F75F8D}" srcId="{57F80F08-B62D-40A2-A0D6-EDDEDA4CF93D}" destId="{02674648-386F-4A8F-A311-3BFD0A3D722E}" srcOrd="1" destOrd="0" parTransId="{98FED25C-66A9-4FF3-8EA5-B7D63F35E98E}" sibTransId="{6DB74084-C991-470E-A790-376A5135B5FE}"/>
    <dgm:cxn modelId="{8F0EB582-192A-47EB-ABD4-56E868193793}" type="presOf" srcId="{02674648-386F-4A8F-A311-3BFD0A3D722E}" destId="{5993B4E0-CAAD-4A2D-8CC5-53C1F7175E2A}" srcOrd="0" destOrd="0" presId="urn:microsoft.com/office/officeart/2005/8/layout/process1"/>
    <dgm:cxn modelId="{F2296E83-20A1-4DBE-BE96-064D4BB852D6}" type="presOf" srcId="{1D037621-A829-4FAC-BD56-723FB6063656}" destId="{B7A66207-A739-4B7A-9D98-00530F79F955}" srcOrd="1" destOrd="0" presId="urn:microsoft.com/office/officeart/2005/8/layout/process1"/>
    <dgm:cxn modelId="{248A7B97-BB5F-4A6D-B1D1-9B0C2A3EFE71}" type="presOf" srcId="{46293B84-A431-4648-9096-DE839B64FC4D}" destId="{80FF9A71-0FB4-42A9-8C6B-2D9334461D20}" srcOrd="0" destOrd="0" presId="urn:microsoft.com/office/officeart/2005/8/layout/process1"/>
    <dgm:cxn modelId="{A0D08AB9-9A0C-4728-B03D-F3D96357E1BD}" type="presOf" srcId="{46293B84-A431-4648-9096-DE839B64FC4D}" destId="{945F4369-E32A-4080-BCBE-C98161EC2802}" srcOrd="1" destOrd="0" presId="urn:microsoft.com/office/officeart/2005/8/layout/process1"/>
    <dgm:cxn modelId="{5D8795C8-32C3-42F7-A4D8-ACFC5D8312A4}" srcId="{57F80F08-B62D-40A2-A0D6-EDDEDA4CF93D}" destId="{482F4173-7135-410F-8AA0-AA962F95B33B}" srcOrd="3" destOrd="0" parTransId="{12A99661-F1BF-4904-8D6F-14E6760154BB}" sibTransId="{5F20F727-D141-4759-B245-85F01B0A7F40}"/>
    <dgm:cxn modelId="{C4BD85DD-CF17-4E07-A2C9-ED961DB5A057}" type="presOf" srcId="{6DB74084-C991-470E-A790-376A5135B5FE}" destId="{4308EB93-7B20-4C34-8617-F23D899CD5C2}" srcOrd="1" destOrd="0" presId="urn:microsoft.com/office/officeart/2005/8/layout/process1"/>
    <dgm:cxn modelId="{73D3CAE9-5067-44CB-9438-A1F826CB71DD}" type="presOf" srcId="{AFD05659-8D10-42C2-AB05-53278776CF4D}" destId="{38E58345-FAD6-4AEC-A760-F20CEB9AC1C7}" srcOrd="0" destOrd="0" presId="urn:microsoft.com/office/officeart/2005/8/layout/process1"/>
    <dgm:cxn modelId="{7F5B64FF-53AE-44D4-829C-EEC7E81436AA}" type="presParOf" srcId="{3001C848-43E5-47CD-B7FD-49B3BBAB0464}" destId="{6EA2E351-AAC6-40C4-8F5D-DAB3271A3EC9}" srcOrd="0" destOrd="0" presId="urn:microsoft.com/office/officeart/2005/8/layout/process1"/>
    <dgm:cxn modelId="{19F21265-2BDF-4E81-99E4-5745E6321F4A}" type="presParOf" srcId="{3001C848-43E5-47CD-B7FD-49B3BBAB0464}" destId="{681A7242-C4F8-46EA-A027-025C539C8F5C}" srcOrd="1" destOrd="0" presId="urn:microsoft.com/office/officeart/2005/8/layout/process1"/>
    <dgm:cxn modelId="{871A05C7-4643-466B-9865-F30BB703B779}" type="presParOf" srcId="{681A7242-C4F8-46EA-A027-025C539C8F5C}" destId="{B7A66207-A739-4B7A-9D98-00530F79F955}" srcOrd="0" destOrd="0" presId="urn:microsoft.com/office/officeart/2005/8/layout/process1"/>
    <dgm:cxn modelId="{021ACC8C-F862-4728-BE61-D0051BFE1ED4}" type="presParOf" srcId="{3001C848-43E5-47CD-B7FD-49B3BBAB0464}" destId="{5993B4E0-CAAD-4A2D-8CC5-53C1F7175E2A}" srcOrd="2" destOrd="0" presId="urn:microsoft.com/office/officeart/2005/8/layout/process1"/>
    <dgm:cxn modelId="{3B4E2332-2C26-4FC8-B022-B10E92DEA036}" type="presParOf" srcId="{3001C848-43E5-47CD-B7FD-49B3BBAB0464}" destId="{22A01A61-ABCE-4E03-ADB8-B06C607CBE74}" srcOrd="3" destOrd="0" presId="urn:microsoft.com/office/officeart/2005/8/layout/process1"/>
    <dgm:cxn modelId="{1485AE93-DB16-4F62-B60E-E549003AFE72}" type="presParOf" srcId="{22A01A61-ABCE-4E03-ADB8-B06C607CBE74}" destId="{4308EB93-7B20-4C34-8617-F23D899CD5C2}" srcOrd="0" destOrd="0" presId="urn:microsoft.com/office/officeart/2005/8/layout/process1"/>
    <dgm:cxn modelId="{B5351A03-54AD-4E38-B52D-9F093B6738BE}" type="presParOf" srcId="{3001C848-43E5-47CD-B7FD-49B3BBAB0464}" destId="{38E58345-FAD6-4AEC-A760-F20CEB9AC1C7}" srcOrd="4" destOrd="0" presId="urn:microsoft.com/office/officeart/2005/8/layout/process1"/>
    <dgm:cxn modelId="{D014F815-2865-4167-B202-96CB7B8356F1}" type="presParOf" srcId="{3001C848-43E5-47CD-B7FD-49B3BBAB0464}" destId="{80FF9A71-0FB4-42A9-8C6B-2D9334461D20}" srcOrd="5" destOrd="0" presId="urn:microsoft.com/office/officeart/2005/8/layout/process1"/>
    <dgm:cxn modelId="{868516CC-459B-4EC1-B1DA-46A86E82EB80}" type="presParOf" srcId="{80FF9A71-0FB4-42A9-8C6B-2D9334461D20}" destId="{945F4369-E32A-4080-BCBE-C98161EC2802}" srcOrd="0" destOrd="0" presId="urn:microsoft.com/office/officeart/2005/8/layout/process1"/>
    <dgm:cxn modelId="{FEB30F74-215B-464B-A378-4F8393DD4958}" type="presParOf" srcId="{3001C848-43E5-47CD-B7FD-49B3BBAB0464}" destId="{056AC04C-B397-432D-9579-46B75DA97086}" srcOrd="6" destOrd="0" presId="urn:microsoft.com/office/officeart/2005/8/layout/process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EA2E351-AAC6-40C4-8F5D-DAB3271A3EC9}">
      <dsp:nvSpPr>
        <dsp:cNvPr id="0" name=""/>
        <dsp:cNvSpPr/>
      </dsp:nvSpPr>
      <dsp:spPr>
        <a:xfrm>
          <a:off x="16382" y="0"/>
          <a:ext cx="3391193" cy="2878454"/>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t>Requester create PR (S4) via Fiori App</a:t>
          </a:r>
        </a:p>
        <a:p>
          <a:pPr marL="0" lvl="0" indent="0" algn="ctr" defTabSz="622300">
            <a:lnSpc>
              <a:spcPct val="90000"/>
            </a:lnSpc>
            <a:spcBef>
              <a:spcPct val="0"/>
            </a:spcBef>
            <a:spcAft>
              <a:spcPct val="35000"/>
            </a:spcAft>
            <a:buNone/>
          </a:pPr>
          <a:r>
            <a:rPr lang="en-US" sz="1400" b="0" i="0" u="none" kern="1200"/>
            <a:t>P.Org  C300</a:t>
          </a:r>
        </a:p>
        <a:p>
          <a:pPr marL="0" lvl="0" indent="0" algn="ctr" defTabSz="622300">
            <a:lnSpc>
              <a:spcPct val="90000"/>
            </a:lnSpc>
            <a:spcBef>
              <a:spcPct val="0"/>
            </a:spcBef>
            <a:spcAft>
              <a:spcPct val="35000"/>
            </a:spcAft>
            <a:buNone/>
          </a:pPr>
          <a:r>
            <a:rPr lang="en-US" sz="1400" b="0" i="0" u="none" kern="1200"/>
            <a:t>P.Group F01</a:t>
          </a:r>
        </a:p>
        <a:p>
          <a:pPr marL="0" lvl="0" indent="0" algn="ctr" defTabSz="622300">
            <a:lnSpc>
              <a:spcPct val="90000"/>
            </a:lnSpc>
            <a:spcBef>
              <a:spcPct val="0"/>
            </a:spcBef>
            <a:spcAft>
              <a:spcPct val="35000"/>
            </a:spcAft>
            <a:buNone/>
          </a:pPr>
          <a:r>
            <a:rPr lang="en-US" sz="1400" b="0" i="0" u="none" kern="1200"/>
            <a:t>Comp Code 3003</a:t>
          </a:r>
        </a:p>
        <a:p>
          <a:pPr marL="0" lvl="0" indent="0" algn="ctr" defTabSz="622300">
            <a:lnSpc>
              <a:spcPct val="90000"/>
            </a:lnSpc>
            <a:spcBef>
              <a:spcPct val="0"/>
            </a:spcBef>
            <a:spcAft>
              <a:spcPct val="35000"/>
            </a:spcAft>
            <a:buNone/>
          </a:pPr>
          <a:r>
            <a:rPr lang="en-US" sz="1400" b="0" i="0" u="none" kern="1200"/>
            <a:t>Plant C300</a:t>
          </a:r>
        </a:p>
        <a:p>
          <a:pPr marL="0" lvl="0" indent="0" algn="ctr" defTabSz="622300">
            <a:lnSpc>
              <a:spcPct val="90000"/>
            </a:lnSpc>
            <a:spcBef>
              <a:spcPct val="0"/>
            </a:spcBef>
            <a:spcAft>
              <a:spcPct val="35000"/>
            </a:spcAft>
            <a:buNone/>
          </a:pPr>
          <a:r>
            <a:rPr lang="en-US" sz="1400" kern="1200"/>
            <a:t>Add requisioner &amp; recipient field</a:t>
          </a:r>
        </a:p>
        <a:p>
          <a:pPr marL="0" lvl="0" indent="0" algn="ctr" defTabSz="622300">
            <a:lnSpc>
              <a:spcPct val="90000"/>
            </a:lnSpc>
            <a:spcBef>
              <a:spcPct val="0"/>
            </a:spcBef>
            <a:spcAft>
              <a:spcPct val="35000"/>
            </a:spcAft>
            <a:buNone/>
          </a:pPr>
          <a:r>
            <a:rPr lang="en-US" sz="1400" kern="1200"/>
            <a:t>Select ACC without GR</a:t>
          </a:r>
        </a:p>
        <a:p>
          <a:pPr marL="0" lvl="0" indent="0" algn="ctr" defTabSz="622300">
            <a:lnSpc>
              <a:spcPct val="90000"/>
            </a:lnSpc>
            <a:spcBef>
              <a:spcPct val="0"/>
            </a:spcBef>
            <a:spcAft>
              <a:spcPct val="35000"/>
            </a:spcAft>
            <a:buNone/>
          </a:pPr>
          <a:r>
            <a:rPr lang="en-US" sz="1400" kern="1200"/>
            <a:t>Save the PR</a:t>
          </a:r>
        </a:p>
        <a:p>
          <a:pPr marL="0" lvl="0" indent="0" algn="ctr" defTabSz="622300">
            <a:lnSpc>
              <a:spcPct val="90000"/>
            </a:lnSpc>
            <a:spcBef>
              <a:spcPct val="0"/>
            </a:spcBef>
            <a:spcAft>
              <a:spcPct val="35000"/>
            </a:spcAft>
            <a:buNone/>
          </a:pPr>
          <a:r>
            <a:rPr lang="en-US" sz="1400" kern="1200"/>
            <a:t>Trigger the single step r</a:t>
          </a:r>
          <a:r>
            <a:rPr lang="en-US" sz="1400" b="0" i="0" u="none" kern="1200"/>
            <a:t>elease Strategy  in S4</a:t>
          </a:r>
          <a:endParaRPr lang="en-US" sz="1400" kern="1200"/>
        </a:p>
        <a:p>
          <a:pPr marL="0" lvl="0" indent="0" algn="ctr" defTabSz="622300">
            <a:lnSpc>
              <a:spcPct val="90000"/>
            </a:lnSpc>
            <a:spcBef>
              <a:spcPct val="0"/>
            </a:spcBef>
            <a:spcAft>
              <a:spcPct val="35000"/>
            </a:spcAft>
            <a:buNone/>
          </a:pPr>
          <a:endParaRPr lang="en-DE" sz="2500" kern="1200"/>
        </a:p>
      </dsp:txBody>
      <dsp:txXfrm>
        <a:off x="100689" y="84307"/>
        <a:ext cx="3222579" cy="2709840"/>
      </dsp:txXfrm>
    </dsp:sp>
    <dsp:sp modelId="{681A7242-C4F8-46EA-A027-025C539C8F5C}">
      <dsp:nvSpPr>
        <dsp:cNvPr id="0" name=""/>
        <dsp:cNvSpPr/>
      </dsp:nvSpPr>
      <dsp:spPr>
        <a:xfrm>
          <a:off x="3746694" y="1018719"/>
          <a:ext cx="718932" cy="841015"/>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1555750">
            <a:lnSpc>
              <a:spcPct val="90000"/>
            </a:lnSpc>
            <a:spcBef>
              <a:spcPct val="0"/>
            </a:spcBef>
            <a:spcAft>
              <a:spcPct val="35000"/>
            </a:spcAft>
            <a:buNone/>
          </a:pPr>
          <a:endParaRPr lang="en-DE" sz="3500" kern="1200"/>
        </a:p>
      </dsp:txBody>
      <dsp:txXfrm>
        <a:off x="3746694" y="1186922"/>
        <a:ext cx="503252" cy="504609"/>
      </dsp:txXfrm>
    </dsp:sp>
    <dsp:sp modelId="{5993B4E0-CAAD-4A2D-8CC5-53C1F7175E2A}">
      <dsp:nvSpPr>
        <dsp:cNvPr id="0" name=""/>
        <dsp:cNvSpPr/>
      </dsp:nvSpPr>
      <dsp:spPr>
        <a:xfrm>
          <a:off x="4764052" y="0"/>
          <a:ext cx="3391193" cy="2878454"/>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l" defTabSz="488950">
            <a:lnSpc>
              <a:spcPct val="90000"/>
            </a:lnSpc>
            <a:spcBef>
              <a:spcPct val="0"/>
            </a:spcBef>
            <a:spcAft>
              <a:spcPct val="35000"/>
            </a:spcAft>
            <a:buNone/>
          </a:pPr>
          <a:endParaRPr lang="en-US" sz="1100" b="0" i="0" u="none" kern="1200"/>
        </a:p>
        <a:p>
          <a:pPr marL="0" lvl="0" indent="0" algn="l" defTabSz="488950">
            <a:lnSpc>
              <a:spcPct val="90000"/>
            </a:lnSpc>
            <a:spcBef>
              <a:spcPct val="0"/>
            </a:spcBef>
            <a:spcAft>
              <a:spcPct val="35000"/>
            </a:spcAft>
            <a:buNone/>
          </a:pPr>
          <a:endParaRPr lang="en-US" sz="1400" b="0" i="0" u="none" kern="1200"/>
        </a:p>
        <a:p>
          <a:pPr marL="0" lvl="0" indent="0" algn="l" defTabSz="488950">
            <a:lnSpc>
              <a:spcPct val="90000"/>
            </a:lnSpc>
            <a:spcBef>
              <a:spcPct val="0"/>
            </a:spcBef>
            <a:spcAft>
              <a:spcPct val="35000"/>
            </a:spcAft>
            <a:buNone/>
          </a:pPr>
          <a:r>
            <a:rPr lang="en-US" sz="1400" b="0" i="0" u="none" kern="1200"/>
            <a:t>After PR save event</a:t>
          </a:r>
          <a:endParaRPr lang="en-US" sz="1800" b="0" i="0" u="none" kern="1200"/>
        </a:p>
        <a:p>
          <a:pPr marL="0" lvl="0" indent="0" algn="l" defTabSz="488950">
            <a:lnSpc>
              <a:spcPct val="90000"/>
            </a:lnSpc>
            <a:spcBef>
              <a:spcPct val="0"/>
            </a:spcBef>
            <a:spcAft>
              <a:spcPct val="35000"/>
            </a:spcAft>
            <a:buNone/>
          </a:pPr>
          <a:r>
            <a:rPr lang="en-US" sz="1400" b="0" i="0" u="none" kern="1200"/>
            <a:t>BTP trigeer the notification to requester to verfiy the PR details  via BTP inbox.</a:t>
          </a:r>
        </a:p>
        <a:p>
          <a:pPr marL="0" lvl="0" indent="0" algn="l" defTabSz="488950">
            <a:lnSpc>
              <a:spcPct val="90000"/>
            </a:lnSpc>
            <a:spcBef>
              <a:spcPct val="0"/>
            </a:spcBef>
            <a:spcAft>
              <a:spcPct val="35000"/>
            </a:spcAft>
            <a:buNone/>
          </a:pPr>
          <a:r>
            <a:rPr lang="en-US" sz="1400" b="0" i="0" u="none" kern="1200"/>
            <a:t>After requester approval, BTP Send the 	email notification mail to GBS Buyers (Functional group F01 responsibles).</a:t>
          </a:r>
        </a:p>
        <a:p>
          <a:pPr marL="0" lvl="0" indent="0" algn="l" defTabSz="488950">
            <a:lnSpc>
              <a:spcPct val="90000"/>
            </a:lnSpc>
            <a:spcBef>
              <a:spcPct val="0"/>
            </a:spcBef>
            <a:spcAft>
              <a:spcPct val="35000"/>
            </a:spcAft>
            <a:buNone/>
          </a:pPr>
          <a:r>
            <a:rPr lang="en-US" sz="1400" b="0" i="0" u="none" kern="1200"/>
            <a:t>GBS buyer will change the	P.Group to 	Individual buyer</a:t>
          </a:r>
        </a:p>
        <a:p>
          <a:pPr marL="0" lvl="0" indent="0" algn="l" defTabSz="488950">
            <a:lnSpc>
              <a:spcPct val="90000"/>
            </a:lnSpc>
            <a:spcBef>
              <a:spcPct val="0"/>
            </a:spcBef>
            <a:spcAft>
              <a:spcPct val="35000"/>
            </a:spcAft>
            <a:buNone/>
          </a:pPr>
          <a:r>
            <a:rPr lang="en-US" sz="1400" b="0" i="0" kern="1200"/>
            <a:t>BTP Trigger the notification mail to Individual buyer (IXX).</a:t>
          </a:r>
        </a:p>
        <a:p>
          <a:pPr marL="0" lvl="0" indent="0" algn="l" defTabSz="488950">
            <a:lnSpc>
              <a:spcPct val="90000"/>
            </a:lnSpc>
            <a:spcBef>
              <a:spcPct val="0"/>
            </a:spcBef>
            <a:spcAft>
              <a:spcPct val="35000"/>
            </a:spcAft>
            <a:buNone/>
          </a:pPr>
          <a:r>
            <a:rPr lang="en-US" sz="1400" b="0" i="0" kern="1200"/>
            <a:t>Invidual buyer will complete Purchase Requisition.</a:t>
          </a:r>
        </a:p>
        <a:p>
          <a:pPr marL="0" lvl="0" indent="0" algn="l" defTabSz="488950">
            <a:lnSpc>
              <a:spcPct val="90000"/>
            </a:lnSpc>
            <a:spcBef>
              <a:spcPct val="0"/>
            </a:spcBef>
            <a:spcAft>
              <a:spcPct val="35000"/>
            </a:spcAft>
            <a:buNone/>
          </a:pPr>
          <a:r>
            <a:rPr lang="en-US" sz="1400" b="0" i="0" u="none" kern="1200"/>
            <a:t>PR release strategy set to released </a:t>
          </a:r>
        </a:p>
        <a:p>
          <a:pPr marL="0" lvl="0" indent="0" algn="ctr" defTabSz="488950">
            <a:lnSpc>
              <a:spcPct val="90000"/>
            </a:lnSpc>
            <a:spcBef>
              <a:spcPct val="0"/>
            </a:spcBef>
            <a:spcAft>
              <a:spcPct val="35000"/>
            </a:spcAft>
            <a:buNone/>
          </a:pPr>
          <a:endParaRPr lang="en-US" sz="1100" b="0" i="0" u="none" kern="1200"/>
        </a:p>
        <a:p>
          <a:pPr marL="0" lvl="0" indent="0" algn="ctr" defTabSz="488950">
            <a:lnSpc>
              <a:spcPct val="90000"/>
            </a:lnSpc>
            <a:spcBef>
              <a:spcPct val="0"/>
            </a:spcBef>
            <a:spcAft>
              <a:spcPct val="35000"/>
            </a:spcAft>
            <a:buNone/>
          </a:pPr>
          <a:endParaRPr lang="en-US" sz="1100" kern="1200"/>
        </a:p>
        <a:p>
          <a:pPr marL="0" lvl="0" indent="0" algn="ctr" defTabSz="488950">
            <a:lnSpc>
              <a:spcPct val="90000"/>
            </a:lnSpc>
            <a:spcBef>
              <a:spcPct val="0"/>
            </a:spcBef>
            <a:spcAft>
              <a:spcPct val="35000"/>
            </a:spcAft>
            <a:buNone/>
          </a:pPr>
          <a:endParaRPr lang="en-DE" sz="1100" kern="1200"/>
        </a:p>
        <a:p>
          <a:pPr marL="0" lvl="0" indent="0" algn="ctr" defTabSz="488950">
            <a:lnSpc>
              <a:spcPct val="90000"/>
            </a:lnSpc>
            <a:spcBef>
              <a:spcPct val="0"/>
            </a:spcBef>
            <a:spcAft>
              <a:spcPct val="35000"/>
            </a:spcAft>
            <a:buNone/>
          </a:pPr>
          <a:endParaRPr lang="en-DE" sz="1100" kern="1200"/>
        </a:p>
      </dsp:txBody>
      <dsp:txXfrm>
        <a:off x="4848359" y="84307"/>
        <a:ext cx="3222579" cy="2709840"/>
      </dsp:txXfrm>
    </dsp:sp>
    <dsp:sp modelId="{22A01A61-ABCE-4E03-ADB8-B06C607CBE74}">
      <dsp:nvSpPr>
        <dsp:cNvPr id="0" name=""/>
        <dsp:cNvSpPr/>
      </dsp:nvSpPr>
      <dsp:spPr>
        <a:xfrm>
          <a:off x="8494365" y="1018719"/>
          <a:ext cx="718932" cy="841015"/>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1555750">
            <a:lnSpc>
              <a:spcPct val="90000"/>
            </a:lnSpc>
            <a:spcBef>
              <a:spcPct val="0"/>
            </a:spcBef>
            <a:spcAft>
              <a:spcPct val="35000"/>
            </a:spcAft>
            <a:buNone/>
          </a:pPr>
          <a:endParaRPr lang="en-DE" sz="3500" kern="1200"/>
        </a:p>
      </dsp:txBody>
      <dsp:txXfrm>
        <a:off x="8494365" y="1186922"/>
        <a:ext cx="503252" cy="504609"/>
      </dsp:txXfrm>
    </dsp:sp>
    <dsp:sp modelId="{38E58345-FAD6-4AEC-A760-F20CEB9AC1C7}">
      <dsp:nvSpPr>
        <dsp:cNvPr id="0" name=""/>
        <dsp:cNvSpPr/>
      </dsp:nvSpPr>
      <dsp:spPr>
        <a:xfrm>
          <a:off x="9511723" y="0"/>
          <a:ext cx="3391193" cy="2878454"/>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l" defTabSz="622300">
            <a:lnSpc>
              <a:spcPct val="90000"/>
            </a:lnSpc>
            <a:spcBef>
              <a:spcPct val="0"/>
            </a:spcBef>
            <a:spcAft>
              <a:spcPct val="35000"/>
            </a:spcAft>
            <a:buNone/>
          </a:pPr>
          <a:r>
            <a:rPr lang="en-US" sz="1400" kern="1200"/>
            <a:t>Create the purchase order from S4 by using fiori app- manage Purchase order.</a:t>
          </a:r>
        </a:p>
        <a:p>
          <a:pPr marL="0" lvl="0" indent="0" algn="l" defTabSz="622300">
            <a:lnSpc>
              <a:spcPct val="90000"/>
            </a:lnSpc>
            <a:spcBef>
              <a:spcPct val="0"/>
            </a:spcBef>
            <a:spcAft>
              <a:spcPct val="35000"/>
            </a:spcAft>
            <a:buNone/>
          </a:pPr>
          <a:r>
            <a:rPr lang="en-US" sz="1400" kern="1200"/>
            <a:t>Automatically trigger the single step r</a:t>
          </a:r>
          <a:r>
            <a:rPr lang="en-US" sz="1400" b="0" i="0" u="none" kern="1200"/>
            <a:t>elease Strategy  in S4 .</a:t>
          </a:r>
        </a:p>
        <a:p>
          <a:pPr marL="0" lvl="0" indent="0" algn="l" defTabSz="622300">
            <a:lnSpc>
              <a:spcPct val="90000"/>
            </a:lnSpc>
            <a:spcBef>
              <a:spcPct val="0"/>
            </a:spcBef>
            <a:spcAft>
              <a:spcPct val="35000"/>
            </a:spcAft>
            <a:buNone/>
          </a:pPr>
          <a:r>
            <a:rPr lang="en-US" sz="1400" b="0" i="0" u="none" kern="1200"/>
            <a:t>Receive BTP notificaiton to  verify the PO details.</a:t>
          </a:r>
        </a:p>
        <a:p>
          <a:pPr marL="0" lvl="0" indent="0" algn="l" defTabSz="622300">
            <a:lnSpc>
              <a:spcPct val="90000"/>
            </a:lnSpc>
            <a:spcBef>
              <a:spcPct val="0"/>
            </a:spcBef>
            <a:spcAft>
              <a:spcPct val="35000"/>
            </a:spcAft>
            <a:buNone/>
          </a:pPr>
          <a:r>
            <a:rPr lang="en-US" sz="1400" b="0" i="0" u="none" kern="1200"/>
            <a:t>If PO value is more than 50K then select the expert from BTP form.</a:t>
          </a:r>
        </a:p>
        <a:p>
          <a:pPr marL="0" lvl="0" indent="0" algn="l" defTabSz="622300">
            <a:lnSpc>
              <a:spcPct val="90000"/>
            </a:lnSpc>
            <a:spcBef>
              <a:spcPct val="0"/>
            </a:spcBef>
            <a:spcAft>
              <a:spcPct val="35000"/>
            </a:spcAft>
            <a:buNone/>
          </a:pPr>
          <a:r>
            <a:rPr lang="en-US" sz="1400" b="0" i="0" u="none" kern="1200"/>
            <a:t>Expert  will receive the PO to confirm, it somechanges are needed then inform purchaser to make the changes in PO.</a:t>
          </a:r>
        </a:p>
        <a:p>
          <a:pPr marL="0" lvl="0" indent="0" algn="l" defTabSz="622300">
            <a:lnSpc>
              <a:spcPct val="90000"/>
            </a:lnSpc>
            <a:spcBef>
              <a:spcPct val="0"/>
            </a:spcBef>
            <a:spcAft>
              <a:spcPct val="35000"/>
            </a:spcAft>
            <a:buNone/>
          </a:pPr>
          <a:r>
            <a:rPr lang="en-US" sz="1400" b="0" i="0" u="none" kern="1200"/>
            <a:t>After procurement expert , PO will be send to SAT approval </a:t>
          </a:r>
          <a:endParaRPr lang="en-DE" sz="1400" kern="1200"/>
        </a:p>
      </dsp:txBody>
      <dsp:txXfrm>
        <a:off x="9596030" y="84307"/>
        <a:ext cx="3222579" cy="2709840"/>
      </dsp:txXfrm>
    </dsp:sp>
    <dsp:sp modelId="{80FF9A71-0FB4-42A9-8C6B-2D9334461D20}">
      <dsp:nvSpPr>
        <dsp:cNvPr id="0" name=""/>
        <dsp:cNvSpPr/>
      </dsp:nvSpPr>
      <dsp:spPr>
        <a:xfrm>
          <a:off x="13242035" y="1018719"/>
          <a:ext cx="718932" cy="841015"/>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1555750">
            <a:lnSpc>
              <a:spcPct val="90000"/>
            </a:lnSpc>
            <a:spcBef>
              <a:spcPct val="0"/>
            </a:spcBef>
            <a:spcAft>
              <a:spcPct val="35000"/>
            </a:spcAft>
            <a:buNone/>
          </a:pPr>
          <a:endParaRPr lang="en-DE" sz="3500" kern="1200"/>
        </a:p>
      </dsp:txBody>
      <dsp:txXfrm>
        <a:off x="13242035" y="1186922"/>
        <a:ext cx="503252" cy="504609"/>
      </dsp:txXfrm>
    </dsp:sp>
    <dsp:sp modelId="{056AC04C-B397-432D-9579-46B75DA97086}">
      <dsp:nvSpPr>
        <dsp:cNvPr id="0" name=""/>
        <dsp:cNvSpPr/>
      </dsp:nvSpPr>
      <dsp:spPr>
        <a:xfrm>
          <a:off x="14259393" y="0"/>
          <a:ext cx="3391193" cy="2878454"/>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l" defTabSz="488950">
            <a:lnSpc>
              <a:spcPct val="90000"/>
            </a:lnSpc>
            <a:spcBef>
              <a:spcPct val="0"/>
            </a:spcBef>
            <a:spcAft>
              <a:spcPct val="35000"/>
            </a:spcAft>
            <a:buNone/>
          </a:pPr>
          <a:endParaRPr lang="en-US" sz="1100" u="none" kern="1200"/>
        </a:p>
        <a:p>
          <a:pPr marL="0" lvl="0" indent="0" algn="ctr" defTabSz="488950">
            <a:lnSpc>
              <a:spcPct val="90000"/>
            </a:lnSpc>
            <a:spcBef>
              <a:spcPct val="0"/>
            </a:spcBef>
            <a:spcAft>
              <a:spcPct val="35000"/>
            </a:spcAft>
            <a:buNone/>
          </a:pPr>
          <a:endParaRPr lang="en-US" sz="1100" kern="1200"/>
        </a:p>
        <a:p>
          <a:pPr marL="0" lvl="0" indent="0" algn="l" defTabSz="488950">
            <a:lnSpc>
              <a:spcPct val="90000"/>
            </a:lnSpc>
            <a:spcBef>
              <a:spcPct val="0"/>
            </a:spcBef>
            <a:spcAft>
              <a:spcPct val="35000"/>
            </a:spcAft>
            <a:buNone/>
          </a:pPr>
          <a:r>
            <a:rPr lang="en-US" sz="1400" kern="1200"/>
            <a:t>Purchaser verfication Step</a:t>
          </a:r>
        </a:p>
        <a:p>
          <a:pPr marL="0" lvl="0" indent="0" algn="l" defTabSz="488950">
            <a:lnSpc>
              <a:spcPct val="90000"/>
            </a:lnSpc>
            <a:spcBef>
              <a:spcPct val="0"/>
            </a:spcBef>
            <a:spcAft>
              <a:spcPct val="35000"/>
            </a:spcAft>
            <a:buNone/>
          </a:pPr>
          <a:r>
            <a:rPr lang="en-US" sz="1400" kern="1200"/>
            <a:t>Trigger  Expert step</a:t>
          </a:r>
        </a:p>
        <a:p>
          <a:pPr marL="0" lvl="0" indent="0" algn="l" defTabSz="488950">
            <a:lnSpc>
              <a:spcPct val="90000"/>
            </a:lnSpc>
            <a:spcBef>
              <a:spcPct val="0"/>
            </a:spcBef>
            <a:spcAft>
              <a:spcPct val="35000"/>
            </a:spcAft>
            <a:buNone/>
          </a:pPr>
          <a:r>
            <a:rPr lang="en-US" sz="1400" kern="1200"/>
            <a:t>	Criteria ?</a:t>
          </a:r>
        </a:p>
        <a:p>
          <a:pPr marL="0" lvl="0" indent="0" algn="l" defTabSz="488950">
            <a:lnSpc>
              <a:spcPct val="90000"/>
            </a:lnSpc>
            <a:spcBef>
              <a:spcPct val="0"/>
            </a:spcBef>
            <a:spcAft>
              <a:spcPct val="35000"/>
            </a:spcAft>
            <a:buNone/>
          </a:pPr>
          <a:r>
            <a:rPr lang="en-US" sz="1400" kern="1200"/>
            <a:t>Determine SAT Approvers</a:t>
          </a:r>
        </a:p>
        <a:p>
          <a:pPr marL="0" lvl="0" indent="0" algn="ctr" defTabSz="488950">
            <a:lnSpc>
              <a:spcPct val="90000"/>
            </a:lnSpc>
            <a:spcBef>
              <a:spcPct val="0"/>
            </a:spcBef>
            <a:spcAft>
              <a:spcPct val="35000"/>
            </a:spcAft>
            <a:buNone/>
          </a:pPr>
          <a:r>
            <a:rPr lang="en-US" sz="1100" kern="1200"/>
            <a:t> </a:t>
          </a:r>
        </a:p>
        <a:p>
          <a:pPr marL="0" lvl="0" indent="0" algn="ctr" defTabSz="488950">
            <a:lnSpc>
              <a:spcPct val="90000"/>
            </a:lnSpc>
            <a:spcBef>
              <a:spcPct val="0"/>
            </a:spcBef>
            <a:spcAft>
              <a:spcPct val="35000"/>
            </a:spcAft>
            <a:buNone/>
          </a:pPr>
          <a:endParaRPr lang="en-DE" sz="1100" kern="1200"/>
        </a:p>
      </dsp:txBody>
      <dsp:txXfrm>
        <a:off x="14343700" y="84307"/>
        <a:ext cx="3222579" cy="2709840"/>
      </dsp:txXfrm>
    </dsp:sp>
  </dsp:spTree>
</dsp:drawing>
</file>

<file path=xl/diagrams/layout1.xml><?xml version="1.0" encoding="utf-8"?>
<dgm:layoutDef xmlns:dgm="http://schemas.openxmlformats.org/drawingml/2006/diagram" xmlns:a="http://schemas.openxmlformats.org/drawingml/2006/main" uniqueId="urn:microsoft.com/office/officeart/2005/8/layout/process1">
  <dgm:title val=""/>
  <dgm:desc val=""/>
  <dgm:catLst>
    <dgm:cat type="process" pri="1000"/>
    <dgm:cat type="convert" pri="15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w" for="ch" ptType="node" refType="w"/>
      <dgm:constr type="h" for="ch" ptType="node" op="equ"/>
      <dgm:constr type="primFontSz" for="ch" ptType="node" op="equ" val="65"/>
      <dgm:constr type="w" for="ch" ptType="sibTrans" refType="w" refFor="ch" refPtType="node" op="equ" fact="0.4"/>
      <dgm:constr type="h" for="ch" ptType="sibTrans" op="equ"/>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shape xmlns:r="http://schemas.openxmlformats.org/officeDocument/2006/relationships" type="roundRect" r:blip="">
          <dgm:adjLst>
            <dgm:adj idx="1" val="0.1"/>
          </dgm:adjLst>
        </dgm:shape>
        <dgm:presOf axis="desOrSelf" ptType="node"/>
        <dgm:constrLst>
          <dgm:constr type="h" refType="w" fact="0.6"/>
          <dgm:constr type="tMarg" refType="primFontSz" fact="0.3"/>
          <dgm:constr type="bMarg" refType="primFontSz" fact="0.3"/>
          <dgm:constr type="lMarg" refType="primFontSz" fact="0.3"/>
          <dgm:constr type="rMarg" refType="primFontSz" fact="0.3"/>
        </dgm:constrLst>
        <dgm:ruleLst>
          <dgm:rule type="primFontSz" val="18" fact="NaN" max="NaN"/>
          <dgm:rule type="h" val="NaN" fact="1.5" max="NaN"/>
          <dgm:rule type="primFontSz" val="5" fact="NaN" max="NaN"/>
          <dgm:rule type="h" val="INF"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h" refType="w" fact="0.62"/>
            <dgm:constr type="connDist"/>
            <dgm:constr type="begPad" refType="connDist" fact="0.25"/>
            <dgm:constr type="endPad" refType="connDist" fact="0.22"/>
          </dgm:constrLst>
          <dgm:ruleLst/>
          <dgm:layoutNode name="connectorText">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svg"/><Relationship Id="rId7" Type="http://schemas.openxmlformats.org/officeDocument/2006/relationships/image" Target="../media/image7.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svg"/><Relationship Id="rId4" Type="http://schemas.openxmlformats.org/officeDocument/2006/relationships/image" Target="../media/image4.png"/><Relationship Id="rId9" Type="http://schemas.openxmlformats.org/officeDocument/2006/relationships/image" Target="../media/image9.svg"/></Relationships>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image" Target="../media/image10.png"/><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31</xdr:row>
      <xdr:rowOff>108857</xdr:rowOff>
    </xdr:from>
    <xdr:to>
      <xdr:col>12</xdr:col>
      <xdr:colOff>974129</xdr:colOff>
      <xdr:row>57</xdr:row>
      <xdr:rowOff>151940</xdr:rowOff>
    </xdr:to>
    <xdr:pic>
      <xdr:nvPicPr>
        <xdr:cNvPr id="2" name="Picture 1">
          <a:extLst>
            <a:ext uri="{FF2B5EF4-FFF2-40B4-BE49-F238E27FC236}">
              <a16:creationId xmlns:a16="http://schemas.microsoft.com/office/drawing/2014/main" id="{8B952CB2-2054-6539-68B1-7AAF658298D6}"/>
            </a:ext>
          </a:extLst>
        </xdr:cNvPr>
        <xdr:cNvPicPr>
          <a:picLocks noChangeAspect="1"/>
        </xdr:cNvPicPr>
      </xdr:nvPicPr>
      <xdr:blipFill>
        <a:blip xmlns:r="http://schemas.openxmlformats.org/officeDocument/2006/relationships" r:embed="rId1"/>
        <a:stretch>
          <a:fillRect/>
        </a:stretch>
      </xdr:blipFill>
      <xdr:spPr>
        <a:xfrm>
          <a:off x="0" y="6063343"/>
          <a:ext cx="8679072" cy="4854569"/>
        </a:xfrm>
        <a:prstGeom prst="rect">
          <a:avLst/>
        </a:prstGeom>
      </xdr:spPr>
    </xdr:pic>
    <xdr:clientData/>
  </xdr:twoCellAnchor>
  <xdr:twoCellAnchor editAs="oneCell">
    <xdr:from>
      <xdr:col>0</xdr:col>
      <xdr:colOff>97970</xdr:colOff>
      <xdr:row>31</xdr:row>
      <xdr:rowOff>125186</xdr:rowOff>
    </xdr:from>
    <xdr:to>
      <xdr:col>12</xdr:col>
      <xdr:colOff>916298</xdr:colOff>
      <xdr:row>57</xdr:row>
      <xdr:rowOff>123915</xdr:rowOff>
    </xdr:to>
    <xdr:pic>
      <xdr:nvPicPr>
        <xdr:cNvPr id="3" name="Graphic 2">
          <a:extLst>
            <a:ext uri="{FF2B5EF4-FFF2-40B4-BE49-F238E27FC236}">
              <a16:creationId xmlns:a16="http://schemas.microsoft.com/office/drawing/2014/main" id="{21DB34C0-B9D9-4092-CEAC-7B898095BBB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7970" y="6264729"/>
          <a:ext cx="8553751" cy="4811485"/>
        </a:xfrm>
        <a:prstGeom prst="rect">
          <a:avLst/>
        </a:prstGeom>
      </xdr:spPr>
    </xdr:pic>
    <xdr:clientData/>
  </xdr:twoCellAnchor>
  <xdr:twoCellAnchor editAs="oneCell">
    <xdr:from>
      <xdr:col>11</xdr:col>
      <xdr:colOff>1742315</xdr:colOff>
      <xdr:row>30</xdr:row>
      <xdr:rowOff>145256</xdr:rowOff>
    </xdr:from>
    <xdr:to>
      <xdr:col>16</xdr:col>
      <xdr:colOff>420257</xdr:colOff>
      <xdr:row>57</xdr:row>
      <xdr:rowOff>114297</xdr:rowOff>
    </xdr:to>
    <xdr:pic>
      <xdr:nvPicPr>
        <xdr:cNvPr id="4" name="Graphic 3">
          <a:extLst>
            <a:ext uri="{FF2B5EF4-FFF2-40B4-BE49-F238E27FC236}">
              <a16:creationId xmlns:a16="http://schemas.microsoft.com/office/drawing/2014/main" id="{1746F10D-1BD0-F390-6B23-B3A09DDF523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725501" y="6099742"/>
          <a:ext cx="8827710" cy="4965587"/>
        </a:xfrm>
        <a:prstGeom prst="rect">
          <a:avLst/>
        </a:prstGeom>
      </xdr:spPr>
    </xdr:pic>
    <xdr:clientData/>
  </xdr:twoCellAnchor>
  <xdr:twoCellAnchor editAs="oneCell">
    <xdr:from>
      <xdr:col>0</xdr:col>
      <xdr:colOff>0</xdr:colOff>
      <xdr:row>57</xdr:row>
      <xdr:rowOff>174170</xdr:rowOff>
    </xdr:from>
    <xdr:to>
      <xdr:col>12</xdr:col>
      <xdr:colOff>1390722</xdr:colOff>
      <xdr:row>85</xdr:row>
      <xdr:rowOff>154779</xdr:rowOff>
    </xdr:to>
    <xdr:pic>
      <xdr:nvPicPr>
        <xdr:cNvPr id="5" name="Graphic 4">
          <a:extLst>
            <a:ext uri="{FF2B5EF4-FFF2-40B4-BE49-F238E27FC236}">
              <a16:creationId xmlns:a16="http://schemas.microsoft.com/office/drawing/2014/main" id="{DC369409-79CF-F5C1-565D-5A6E1A58B8C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0" y="11125199"/>
          <a:ext cx="9177263" cy="5162210"/>
        </a:xfrm>
        <a:prstGeom prst="rect">
          <a:avLst/>
        </a:prstGeom>
      </xdr:spPr>
    </xdr:pic>
    <xdr:clientData/>
  </xdr:twoCellAnchor>
  <xdr:twoCellAnchor editAs="oneCell">
    <xdr:from>
      <xdr:col>11</xdr:col>
      <xdr:colOff>1638298</xdr:colOff>
      <xdr:row>56</xdr:row>
      <xdr:rowOff>114302</xdr:rowOff>
    </xdr:from>
    <xdr:to>
      <xdr:col>23</xdr:col>
      <xdr:colOff>133975</xdr:colOff>
      <xdr:row>103</xdr:row>
      <xdr:rowOff>2563</xdr:rowOff>
    </xdr:to>
    <xdr:pic>
      <xdr:nvPicPr>
        <xdr:cNvPr id="6" name="Graphic 5">
          <a:extLst>
            <a:ext uri="{FF2B5EF4-FFF2-40B4-BE49-F238E27FC236}">
              <a16:creationId xmlns:a16="http://schemas.microsoft.com/office/drawing/2014/main" id="{FA1F06FA-1183-7C31-B531-6B0B20C3ADC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621484" y="10880273"/>
          <a:ext cx="15240000" cy="857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110491</xdr:colOff>
      <xdr:row>5</xdr:row>
      <xdr:rowOff>28576</xdr:rowOff>
    </xdr:from>
    <xdr:to>
      <xdr:col>30</xdr:col>
      <xdr:colOff>99060</xdr:colOff>
      <xdr:row>20</xdr:row>
      <xdr:rowOff>144780</xdr:rowOff>
    </xdr:to>
    <xdr:graphicFrame macro="">
      <xdr:nvGraphicFramePr>
        <xdr:cNvPr id="5" name="Diagram 4">
          <a:extLst>
            <a:ext uri="{FF2B5EF4-FFF2-40B4-BE49-F238E27FC236}">
              <a16:creationId xmlns:a16="http://schemas.microsoft.com/office/drawing/2014/main" id="{B8883BD7-EC8B-A6CE-EEBE-5D3D4C32835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editAs="oneCell">
    <xdr:from>
      <xdr:col>9</xdr:col>
      <xdr:colOff>346709</xdr:colOff>
      <xdr:row>23</xdr:row>
      <xdr:rowOff>122995</xdr:rowOff>
    </xdr:from>
    <xdr:to>
      <xdr:col>25</xdr:col>
      <xdr:colOff>378026</xdr:colOff>
      <xdr:row>50</xdr:row>
      <xdr:rowOff>15240</xdr:rowOff>
    </xdr:to>
    <xdr:pic>
      <xdr:nvPicPr>
        <xdr:cNvPr id="6" name="Picture 5">
          <a:extLst>
            <a:ext uri="{FF2B5EF4-FFF2-40B4-BE49-F238E27FC236}">
              <a16:creationId xmlns:a16="http://schemas.microsoft.com/office/drawing/2014/main" id="{EDC1B237-CB7A-4EA2-9B70-86D00B4ED17C}"/>
            </a:ext>
          </a:extLst>
        </xdr:cNvPr>
        <xdr:cNvPicPr>
          <a:picLocks noChangeAspect="1"/>
        </xdr:cNvPicPr>
      </xdr:nvPicPr>
      <xdr:blipFill>
        <a:blip xmlns:r="http://schemas.openxmlformats.org/officeDocument/2006/relationships" r:embed="rId6"/>
        <a:stretch>
          <a:fillRect/>
        </a:stretch>
      </xdr:blipFill>
      <xdr:spPr>
        <a:xfrm>
          <a:off x="5833109" y="4504495"/>
          <a:ext cx="9784917" cy="50357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iemens.sharepoint.com/teams/FS4/GovernanceFoundation/rollout_collaboration/Shared%20Documents/1420/020_Explore/M200.030%20Conduct%20Fit2Standard%20Workshops/10_Fit_Gap%20List/AUN_ALL/GF_ROL_FitGap20241210.xlsx" TargetMode="External"/><Relationship Id="rId1" Type="http://schemas.openxmlformats.org/officeDocument/2006/relationships/externalLinkPath" Target="https://siemens.sharepoint.com/teams/FS4/GovernanceFoundation/rollout_collaboration/Shared%20Documents/1420/020_Explore/M200.030%20Conduct%20Fit2Standard%20Workshops/10_Fit_Gap%20List/AUN_ALL/GF_ROL_FitGap202412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port"/>
      <sheetName val="Tabelle1"/>
      <sheetName val="Polarion"/>
      <sheetName val="_polarion"/>
      <sheetName val="GF_ROL_FitGap20241210"/>
    </sheetNames>
    <sheetDataSet>
      <sheetData sheetId="0"/>
      <sheetData sheetId="1"/>
      <sheetData sheetId="2"/>
      <sheetData sheetId="3"/>
      <sheetData sheetId="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tam, Ajit (IT ECP PLG P)" refreshedDate="45755.949188194441" createdVersion="8" refreshedVersion="8" minRefreshableVersion="3" recordCount="41" xr:uid="{B8C0FD65-4A8D-4D66-AE98-4EE31DC249A9}">
  <cacheSource type="worksheet">
    <worksheetSource ref="A2:E44" sheet="Rollout Activities "/>
  </cacheSource>
  <cacheFields count="5">
    <cacheField name="Category" numFmtId="0">
      <sharedItems count="6">
        <s v="Configuration"/>
        <s v="Dependencies"/>
        <s v="Documentation"/>
        <s v="Cutover "/>
        <s v="Cutover"/>
        <s v="Admin" u="1"/>
      </sharedItems>
    </cacheField>
    <cacheField name="Topic" numFmtId="0">
      <sharedItems containsBlank="1" count="36">
        <s v="Document Type"/>
        <s v="Org Strucuture"/>
        <s v="Release Strategy chacteristic values (PR)"/>
        <s v="Release Strategy chacteristic values (PO)"/>
        <s v="PO Message output"/>
        <s v="PO Message output "/>
        <s v="Confirmation Control  Key"/>
        <s v="OCI set up"/>
        <s v="New MM Role creation/extend for new unit"/>
        <s v="SAT entries upload"/>
        <s v="S4 Enhancement : PO Printout set up"/>
        <s v="Supplier Replication"/>
        <s v="OC assignment to BP"/>
        <s v="Role Assignment to Users"/>
        <s v="DirX entry in GMDM for new P.Org."/>
        <s v="BTP Access for users"/>
        <s v="BTP condition tables maitanence "/>
        <s v="XLD  to Y line related to new P.Org. TR"/>
        <s v="Solution Design outline"/>
        <s v="BTP Apps &amp; Services "/>
        <s v="WH Tax related requirment "/>
        <s v="VIM Related requirements"/>
        <s v="BTP related enhancement "/>
        <s v="Unit &amp; Functional test document"/>
        <s v="FIT documents"/>
        <s v="Training related documents"/>
        <s v="Process Overview document for F2S workshop"/>
        <s v="Cutover task creation"/>
        <s v="ER roles assignment "/>
        <s v="Cutover task execution"/>
        <s v="Smoke Testing"/>
        <s v="PO Message output EDI value mapping" u="1"/>
        <s v="Unit test &amp; functional test document" u="1"/>
        <s v="Release Strategy" u="1"/>
        <s v="SMTP account set up" u="1"/>
        <m u="1"/>
      </sharedItems>
    </cacheField>
    <cacheField name="Topic description" numFmtId="0">
      <sharedItems containsBlank="1" count="22">
        <s v="New doc type for standard PO "/>
        <s v="New doc type for framwork PO "/>
        <s v="Company Code"/>
        <s v="Plant"/>
        <s v="Pur.Organization"/>
        <s v="Pur. Groups"/>
        <s v="PR"/>
        <s v="PO"/>
        <s v="Y005 - Maintain condition records"/>
        <s v="SIEEDI - Maintain EDI mapping tables"/>
        <s v="Y004"/>
        <s v="Maintain OCI parameters"/>
        <s v="New role for OCI AUN specific"/>
        <s v="Set up Org structure in myMall"/>
        <s v="Buyer"/>
        <s v="Purchaser"/>
        <s v="Requisitioner"/>
        <s v="Approver"/>
        <s v="Expert"/>
        <m/>
        <s v="Y005" u="1"/>
        <s v="SIEEDI " u="1"/>
      </sharedItems>
    </cacheField>
    <cacheField name="Additional information" numFmtId="0">
      <sharedItems containsBlank="1"/>
    </cacheField>
    <cacheField name="Team" numFmtId="0">
      <sharedItems containsBlank="1" count="16">
        <s v="P2R"/>
        <s v="R2R"/>
        <s v="MDG"/>
        <s v="ISI Team"/>
        <s v="ACA"/>
        <s v="myMall"/>
        <s v="SAT"/>
        <s v="DEV"/>
        <s v="GMDM"/>
        <s v="BTP"/>
        <s v="WH Tax"/>
        <s v="VIM"/>
        <s v="Testing"/>
        <s v="Training "/>
        <m u="1"/>
        <s v="P2R +All dependent teams"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x v="0"/>
    <x v="0"/>
    <x v="0"/>
    <s v="YDNB"/>
    <x v="0"/>
  </r>
  <r>
    <x v="0"/>
    <x v="0"/>
    <x v="1"/>
    <s v="YDFO"/>
    <x v="0"/>
  </r>
  <r>
    <x v="0"/>
    <x v="1"/>
    <x v="2"/>
    <s v="Should be set up by finance team"/>
    <x v="1"/>
  </r>
  <r>
    <x v="0"/>
    <x v="1"/>
    <x v="3"/>
    <s v="Company ID + counter"/>
    <x v="0"/>
  </r>
  <r>
    <x v="0"/>
    <x v="1"/>
    <x v="4"/>
    <s v="Company ID + counter"/>
    <x v="0"/>
  </r>
  <r>
    <x v="0"/>
    <x v="1"/>
    <x v="5"/>
    <s v="Functional FXX , Individual IXX"/>
    <x v="0"/>
  </r>
  <r>
    <x v="1"/>
    <x v="2"/>
    <x v="6"/>
    <s v="Characteristic value maitnain"/>
    <x v="2"/>
  </r>
  <r>
    <x v="1"/>
    <x v="3"/>
    <x v="7"/>
    <s v="Characteristic value maitnain"/>
    <x v="2"/>
  </r>
  <r>
    <x v="0"/>
    <x v="4"/>
    <x v="8"/>
    <s v="Maintain condition records"/>
    <x v="0"/>
  </r>
  <r>
    <x v="0"/>
    <x v="5"/>
    <x v="9"/>
    <s v="Maitnain EDI value mapping tables"/>
    <x v="3"/>
  </r>
  <r>
    <x v="0"/>
    <x v="6"/>
    <x v="10"/>
    <s v="Setting up confirmation control Key"/>
    <x v="0"/>
  </r>
  <r>
    <x v="0"/>
    <x v="7"/>
    <x v="11"/>
    <m/>
    <x v="0"/>
  </r>
  <r>
    <x v="0"/>
    <x v="7"/>
    <x v="12"/>
    <m/>
    <x v="4"/>
  </r>
  <r>
    <x v="0"/>
    <x v="7"/>
    <x v="13"/>
    <m/>
    <x v="5"/>
  </r>
  <r>
    <x v="0"/>
    <x v="8"/>
    <x v="14"/>
    <m/>
    <x v="4"/>
  </r>
  <r>
    <x v="0"/>
    <x v="8"/>
    <x v="15"/>
    <m/>
    <x v="4"/>
  </r>
  <r>
    <x v="0"/>
    <x v="8"/>
    <x v="16"/>
    <m/>
    <x v="4"/>
  </r>
  <r>
    <x v="0"/>
    <x v="8"/>
    <x v="17"/>
    <m/>
    <x v="4"/>
  </r>
  <r>
    <x v="0"/>
    <x v="8"/>
    <x v="18"/>
    <m/>
    <x v="4"/>
  </r>
  <r>
    <x v="1"/>
    <x v="9"/>
    <x v="19"/>
    <m/>
    <x v="6"/>
  </r>
  <r>
    <x v="1"/>
    <x v="10"/>
    <x v="19"/>
    <m/>
    <x v="7"/>
  </r>
  <r>
    <x v="1"/>
    <x v="11"/>
    <x v="19"/>
    <m/>
    <x v="2"/>
  </r>
  <r>
    <x v="1"/>
    <x v="12"/>
    <x v="19"/>
    <m/>
    <x v="2"/>
  </r>
  <r>
    <x v="1"/>
    <x v="13"/>
    <x v="19"/>
    <m/>
    <x v="4"/>
  </r>
  <r>
    <x v="1"/>
    <x v="14"/>
    <x v="19"/>
    <m/>
    <x v="8"/>
  </r>
  <r>
    <x v="1"/>
    <x v="15"/>
    <x v="19"/>
    <m/>
    <x v="9"/>
  </r>
  <r>
    <x v="1"/>
    <x v="16"/>
    <x v="19"/>
    <m/>
    <x v="9"/>
  </r>
  <r>
    <x v="1"/>
    <x v="17"/>
    <x v="19"/>
    <m/>
    <x v="0"/>
  </r>
  <r>
    <x v="2"/>
    <x v="18"/>
    <x v="19"/>
    <m/>
    <x v="0"/>
  </r>
  <r>
    <x v="2"/>
    <x v="19"/>
    <x v="19"/>
    <m/>
    <x v="0"/>
  </r>
  <r>
    <x v="1"/>
    <x v="20"/>
    <x v="19"/>
    <m/>
    <x v="10"/>
  </r>
  <r>
    <x v="1"/>
    <x v="21"/>
    <x v="19"/>
    <m/>
    <x v="11"/>
  </r>
  <r>
    <x v="1"/>
    <x v="22"/>
    <x v="19"/>
    <m/>
    <x v="9"/>
  </r>
  <r>
    <x v="2"/>
    <x v="23"/>
    <x v="19"/>
    <m/>
    <x v="0"/>
  </r>
  <r>
    <x v="2"/>
    <x v="24"/>
    <x v="19"/>
    <m/>
    <x v="12"/>
  </r>
  <r>
    <x v="2"/>
    <x v="25"/>
    <x v="19"/>
    <m/>
    <x v="13"/>
  </r>
  <r>
    <x v="2"/>
    <x v="26"/>
    <x v="19"/>
    <m/>
    <x v="0"/>
  </r>
  <r>
    <x v="3"/>
    <x v="27"/>
    <x v="19"/>
    <m/>
    <x v="0"/>
  </r>
  <r>
    <x v="4"/>
    <x v="28"/>
    <x v="19"/>
    <m/>
    <x v="0"/>
  </r>
  <r>
    <x v="4"/>
    <x v="29"/>
    <x v="19"/>
    <m/>
    <x v="0"/>
  </r>
  <r>
    <x v="4"/>
    <x v="30"/>
    <x v="19"/>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556AD8-DE3F-4834-B43A-B3B1AEE943EF}" name="PivotTable3" cacheId="486" applyNumberFormats="0" applyBorderFormats="0" applyFontFormats="0" applyPatternFormats="0" applyAlignmentFormats="0" applyWidthHeightFormats="1" dataCaption="Values" updatedVersion="8" minRefreshableVersion="3" showDrill="0" useAutoFormatting="1" rowGrandTotals="0" colGrandTotals="0" createdVersion="8" indent="0" compact="0" compactData="0" multipleFieldFilters="0" customListSort="0">
  <location ref="A3:E49" firstHeaderRow="1" firstDataRow="1" firstDataCol="4"/>
  <pivotFields count="5">
    <pivotField axis="axisRow" compact="0" outline="0" showAll="0">
      <items count="7">
        <item m="1" x="5"/>
        <item x="0"/>
        <item x="4"/>
        <item x="3"/>
        <item x="1"/>
        <item x="2"/>
        <item t="default"/>
      </items>
    </pivotField>
    <pivotField axis="axisRow" dataField="1" compact="0" outline="0" showAll="0" defaultSubtotal="0">
      <items count="36">
        <item x="15"/>
        <item x="19"/>
        <item x="16"/>
        <item x="22"/>
        <item x="6"/>
        <item x="27"/>
        <item x="29"/>
        <item x="14"/>
        <item x="0"/>
        <item x="28"/>
        <item x="24"/>
        <item x="8"/>
        <item x="12"/>
        <item x="7"/>
        <item x="1"/>
        <item x="4"/>
        <item m="1" x="33"/>
        <item x="13"/>
        <item x="10"/>
        <item x="9"/>
        <item x="30"/>
        <item m="1" x="34"/>
        <item x="18"/>
        <item x="11"/>
        <item x="25"/>
        <item sd="0" m="1" x="32"/>
        <item x="21"/>
        <item x="20"/>
        <item x="17"/>
        <item m="1" x="35"/>
        <item x="26"/>
        <item m="1" x="31"/>
        <item x="2"/>
        <item x="3"/>
        <item x="23"/>
        <item x="5"/>
      </items>
    </pivotField>
    <pivotField axis="axisRow" compact="0" outline="0" showAll="0" defaultSubtotal="0">
      <items count="22">
        <item x="17"/>
        <item x="14"/>
        <item x="2"/>
        <item x="18"/>
        <item x="11"/>
        <item x="1"/>
        <item x="0"/>
        <item x="12"/>
        <item x="3"/>
        <item x="7"/>
        <item x="6"/>
        <item x="5"/>
        <item x="4"/>
        <item x="15"/>
        <item x="16"/>
        <item x="13"/>
        <item m="1" x="21"/>
        <item x="10"/>
        <item m="1" x="20"/>
        <item x="19"/>
        <item x="8"/>
        <item x="9"/>
      </items>
    </pivotField>
    <pivotField compact="0" outline="0" showAll="0"/>
    <pivotField axis="axisRow" compact="0" outline="0" showAll="0" defaultSubtotal="0">
      <items count="16">
        <item x="6"/>
        <item x="4"/>
        <item x="9"/>
        <item x="7"/>
        <item x="8"/>
        <item x="3"/>
        <item x="2"/>
        <item x="5"/>
        <item x="0"/>
        <item m="1" x="15"/>
        <item x="1"/>
        <item x="12"/>
        <item x="13"/>
        <item x="11"/>
        <item x="10"/>
        <item m="1" x="14"/>
      </items>
    </pivotField>
  </pivotFields>
  <rowFields count="4">
    <field x="0"/>
    <field x="1"/>
    <field x="2"/>
    <field x="4"/>
  </rowFields>
  <rowItems count="46">
    <i>
      <x v="1"/>
      <x v="4"/>
      <x v="17"/>
      <x v="8"/>
    </i>
    <i r="1">
      <x v="8"/>
      <x v="5"/>
      <x v="8"/>
    </i>
    <i r="2">
      <x v="6"/>
      <x v="8"/>
    </i>
    <i r="1">
      <x v="11"/>
      <x/>
      <x v="1"/>
    </i>
    <i r="2">
      <x v="1"/>
      <x v="1"/>
    </i>
    <i r="2">
      <x v="3"/>
      <x v="1"/>
    </i>
    <i r="2">
      <x v="13"/>
      <x v="1"/>
    </i>
    <i r="2">
      <x v="14"/>
      <x v="1"/>
    </i>
    <i r="1">
      <x v="13"/>
      <x v="4"/>
      <x v="8"/>
    </i>
    <i r="2">
      <x v="7"/>
      <x v="1"/>
    </i>
    <i r="2">
      <x v="15"/>
      <x v="7"/>
    </i>
    <i r="1">
      <x v="14"/>
      <x v="2"/>
      <x v="10"/>
    </i>
    <i r="2">
      <x v="8"/>
      <x v="8"/>
    </i>
    <i r="2">
      <x v="11"/>
      <x v="8"/>
    </i>
    <i r="2">
      <x v="12"/>
      <x v="8"/>
    </i>
    <i r="1">
      <x v="15"/>
      <x v="20"/>
      <x v="8"/>
    </i>
    <i r="1">
      <x v="35"/>
      <x v="21"/>
      <x v="5"/>
    </i>
    <i t="default">
      <x v="1"/>
    </i>
    <i>
      <x v="2"/>
      <x v="6"/>
      <x v="19"/>
      <x v="8"/>
    </i>
    <i r="1">
      <x v="9"/>
      <x v="19"/>
      <x v="8"/>
    </i>
    <i r="1">
      <x v="20"/>
      <x v="19"/>
      <x v="8"/>
    </i>
    <i t="default">
      <x v="2"/>
    </i>
    <i>
      <x v="3"/>
      <x v="5"/>
      <x v="19"/>
      <x v="8"/>
    </i>
    <i t="default">
      <x v="3"/>
    </i>
    <i>
      <x v="4"/>
      <x/>
      <x v="19"/>
      <x v="2"/>
    </i>
    <i r="1">
      <x v="2"/>
      <x v="19"/>
      <x v="2"/>
    </i>
    <i r="1">
      <x v="3"/>
      <x v="19"/>
      <x v="2"/>
    </i>
    <i r="1">
      <x v="7"/>
      <x v="19"/>
      <x v="4"/>
    </i>
    <i r="1">
      <x v="12"/>
      <x v="19"/>
      <x v="6"/>
    </i>
    <i r="1">
      <x v="17"/>
      <x v="19"/>
      <x v="1"/>
    </i>
    <i r="1">
      <x v="18"/>
      <x v="19"/>
      <x v="3"/>
    </i>
    <i r="1">
      <x v="19"/>
      <x v="19"/>
      <x/>
    </i>
    <i r="1">
      <x v="23"/>
      <x v="19"/>
      <x v="6"/>
    </i>
    <i r="1">
      <x v="26"/>
      <x v="19"/>
      <x v="13"/>
    </i>
    <i r="1">
      <x v="27"/>
      <x v="19"/>
      <x v="14"/>
    </i>
    <i r="1">
      <x v="28"/>
      <x v="19"/>
      <x v="8"/>
    </i>
    <i r="1">
      <x v="32"/>
      <x v="10"/>
      <x v="6"/>
    </i>
    <i r="1">
      <x v="33"/>
      <x v="9"/>
      <x v="6"/>
    </i>
    <i t="default">
      <x v="4"/>
    </i>
    <i>
      <x v="5"/>
      <x v="1"/>
      <x v="19"/>
      <x v="8"/>
    </i>
    <i r="1">
      <x v="10"/>
      <x v="19"/>
      <x v="11"/>
    </i>
    <i r="1">
      <x v="22"/>
      <x v="19"/>
      <x v="8"/>
    </i>
    <i r="1">
      <x v="24"/>
      <x v="19"/>
      <x v="12"/>
    </i>
    <i r="1">
      <x v="30"/>
      <x v="19"/>
      <x v="8"/>
    </i>
    <i r="1">
      <x v="34"/>
      <x v="19"/>
      <x v="8"/>
    </i>
    <i t="default">
      <x v="5"/>
    </i>
  </rowItems>
  <colItems count="1">
    <i/>
  </colItems>
  <dataFields count="1">
    <dataField name="Count of Topic" fld="1" subtotal="count" baseField="0" baseItem="0"/>
  </dataFields>
  <formats count="2">
    <format dxfId="1">
      <pivotArea dataOnly="0" labelOnly="1" outline="0" fieldPosition="0">
        <references count="1">
          <reference field="1" count="0"/>
        </references>
      </pivotArea>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siemens.sharepoint.com/:x:/r/teams/FS4/GovernanceFoundation/rollout_collaboration/_layouts/15/Doc.aspx?sourcedoc=%7BFEB1AF02-591A-44EB-B067-2A110ABA5104%7D&amp;file=SX_GF_ROL%20Roll%20Out%20Overview%20FY25.xlsx&amp;wdLOR=cCA5033E6-6850-4240-A49E-0DE199B4A912&amp;action=default&amp;mobileredirect=true" TargetMode="Externa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ECAA4-10F8-4CDF-B211-ADB2AE9BBB46}">
  <dimension ref="A1:W24"/>
  <sheetViews>
    <sheetView tabSelected="1" topLeftCell="A7" zoomScaleNormal="100" workbookViewId="0">
      <selection activeCell="D19" sqref="D19"/>
    </sheetView>
  </sheetViews>
  <sheetFormatPr defaultRowHeight="14.5" x14ac:dyDescent="0.35"/>
  <cols>
    <col min="1" max="1" width="11.26953125" customWidth="1"/>
    <col min="3" max="3" width="20.453125" customWidth="1"/>
    <col min="4" max="4" width="11" customWidth="1"/>
    <col min="5" max="5" width="22.26953125" customWidth="1"/>
    <col min="7" max="7" width="11.54296875" customWidth="1"/>
    <col min="8" max="8" width="11.7265625" hidden="1" customWidth="1"/>
    <col min="9" max="9" width="18.54296875" customWidth="1"/>
    <col min="10" max="10" width="11.26953125" hidden="1" customWidth="1"/>
    <col min="11" max="11" width="16.453125" hidden="1" customWidth="1"/>
    <col min="12" max="12" width="18.7265625" hidden="1" customWidth="1"/>
    <col min="13" max="13" width="25.26953125" customWidth="1"/>
    <col min="14" max="14" width="8.1796875" hidden="1" customWidth="1"/>
    <col min="15" max="15" width="22.7265625" customWidth="1"/>
    <col min="16" max="16" width="73.26953125" style="58" customWidth="1"/>
    <col min="17" max="17" width="32.90625" customWidth="1"/>
    <col min="18" max="18" width="18.08984375" customWidth="1"/>
  </cols>
  <sheetData>
    <row r="1" spans="1:18" ht="18" customHeight="1" x14ac:dyDescent="0.45">
      <c r="A1" s="119" t="s">
        <v>0</v>
      </c>
      <c r="B1" s="119"/>
      <c r="C1" s="119"/>
      <c r="D1" s="119"/>
      <c r="E1" s="119"/>
      <c r="F1" s="119"/>
      <c r="G1" s="119"/>
      <c r="H1" s="119"/>
      <c r="I1" s="119"/>
      <c r="J1" s="119"/>
      <c r="K1" s="119"/>
      <c r="L1" s="119"/>
      <c r="M1" s="119"/>
      <c r="N1" s="119"/>
      <c r="O1" s="120"/>
    </row>
    <row r="2" spans="1:18" x14ac:dyDescent="0.35">
      <c r="A2" s="9" t="s">
        <v>1</v>
      </c>
      <c r="B2" s="9" t="s">
        <v>198</v>
      </c>
      <c r="C2" s="9" t="s">
        <v>778</v>
      </c>
      <c r="D2" s="9" t="s">
        <v>844</v>
      </c>
      <c r="E2" s="9" t="s">
        <v>3</v>
      </c>
      <c r="F2" s="9" t="s">
        <v>5</v>
      </c>
      <c r="G2" s="9" t="s">
        <v>170</v>
      </c>
      <c r="H2" s="9" t="s">
        <v>4</v>
      </c>
      <c r="I2" s="9" t="s">
        <v>786</v>
      </c>
      <c r="J2" s="9" t="s">
        <v>6</v>
      </c>
      <c r="K2" s="9" t="s">
        <v>7</v>
      </c>
      <c r="L2" s="9" t="s">
        <v>777</v>
      </c>
      <c r="M2" s="9" t="s">
        <v>838</v>
      </c>
      <c r="N2" s="9" t="s">
        <v>8</v>
      </c>
      <c r="O2" s="22" t="s">
        <v>789</v>
      </c>
      <c r="P2" s="107" t="s">
        <v>788</v>
      </c>
      <c r="Q2" s="9" t="s">
        <v>842</v>
      </c>
      <c r="R2" s="9" t="s">
        <v>941</v>
      </c>
    </row>
    <row r="3" spans="1:18" ht="14.25" customHeight="1" x14ac:dyDescent="0.35">
      <c r="A3" s="87">
        <v>1410</v>
      </c>
      <c r="B3" s="87" t="s">
        <v>10</v>
      </c>
      <c r="C3" s="87">
        <v>3003</v>
      </c>
      <c r="D3" s="92" t="s">
        <v>871</v>
      </c>
      <c r="E3" s="88" t="s">
        <v>11</v>
      </c>
      <c r="F3" s="87" t="s">
        <v>13</v>
      </c>
      <c r="G3" s="87" t="s">
        <v>171</v>
      </c>
      <c r="H3" s="87" t="s">
        <v>12</v>
      </c>
      <c r="I3" s="87" t="s">
        <v>14</v>
      </c>
      <c r="J3" s="87" t="s">
        <v>11</v>
      </c>
      <c r="K3" s="87" t="s">
        <v>115</v>
      </c>
      <c r="L3" s="87" t="s">
        <v>14</v>
      </c>
      <c r="M3" s="87" t="s">
        <v>14</v>
      </c>
      <c r="N3" s="87" t="s">
        <v>832</v>
      </c>
      <c r="O3" s="87" t="s">
        <v>836</v>
      </c>
      <c r="P3" s="108" t="s">
        <v>199</v>
      </c>
      <c r="Q3" s="4" t="s">
        <v>843</v>
      </c>
      <c r="R3" s="131" t="s">
        <v>942</v>
      </c>
    </row>
    <row r="4" spans="1:18" ht="18.5" customHeight="1" x14ac:dyDescent="0.35">
      <c r="A4" s="4">
        <v>1420</v>
      </c>
      <c r="B4" s="5">
        <v>4001</v>
      </c>
      <c r="C4" s="5">
        <v>3371</v>
      </c>
      <c r="D4" s="93" t="s">
        <v>871</v>
      </c>
      <c r="E4" s="6" t="s">
        <v>169</v>
      </c>
      <c r="F4" s="4" t="s">
        <v>13</v>
      </c>
      <c r="G4" s="4" t="str">
        <f>VLOOKUP(C4,Sheet3!C:D,2,FALSE)</f>
        <v>CE</v>
      </c>
      <c r="H4" s="4"/>
      <c r="I4" s="4" t="s">
        <v>782</v>
      </c>
      <c r="J4" s="4"/>
      <c r="K4" s="4"/>
      <c r="L4" s="4" t="s">
        <v>14</v>
      </c>
      <c r="M4" s="4" t="s">
        <v>782</v>
      </c>
      <c r="N4" s="4"/>
      <c r="O4" s="4" t="s">
        <v>790</v>
      </c>
      <c r="P4" s="153" t="s">
        <v>973</v>
      </c>
      <c r="Q4" s="132" t="s">
        <v>847</v>
      </c>
      <c r="R4" s="1" t="s">
        <v>943</v>
      </c>
    </row>
    <row r="5" spans="1:18" x14ac:dyDescent="0.35">
      <c r="A5" s="4">
        <v>1420</v>
      </c>
      <c r="B5" s="5" t="s">
        <v>88</v>
      </c>
      <c r="C5" s="5">
        <v>3372</v>
      </c>
      <c r="D5" s="93" t="s">
        <v>871</v>
      </c>
      <c r="E5" s="6" t="s">
        <v>89</v>
      </c>
      <c r="F5" s="4" t="s">
        <v>13</v>
      </c>
      <c r="G5" s="4" t="str">
        <f>VLOOKUP(C5,Sheet3!C:D,2,FALSE)</f>
        <v>CF</v>
      </c>
      <c r="H5" s="4"/>
      <c r="I5" s="4" t="s">
        <v>783</v>
      </c>
      <c r="J5" s="4"/>
      <c r="K5" s="4"/>
      <c r="L5" s="4" t="s">
        <v>14</v>
      </c>
      <c r="M5" s="4" t="s">
        <v>783</v>
      </c>
      <c r="N5" s="4"/>
      <c r="O5" s="4" t="s">
        <v>790</v>
      </c>
      <c r="P5" s="154"/>
      <c r="Q5" s="133"/>
      <c r="R5" s="1" t="s">
        <v>944</v>
      </c>
    </row>
    <row r="6" spans="1:18" x14ac:dyDescent="0.35">
      <c r="A6" s="4">
        <v>1420</v>
      </c>
      <c r="B6" s="5" t="s">
        <v>90</v>
      </c>
      <c r="C6" s="5">
        <v>3373</v>
      </c>
      <c r="D6" s="93" t="s">
        <v>871</v>
      </c>
      <c r="E6" s="6" t="s">
        <v>91</v>
      </c>
      <c r="F6" s="4" t="s">
        <v>13</v>
      </c>
      <c r="G6" s="4" t="str">
        <f>VLOOKUP(C6,Sheet3!C:D,2,FALSE)</f>
        <v>CG</v>
      </c>
      <c r="H6" s="4"/>
      <c r="I6" s="4" t="s">
        <v>784</v>
      </c>
      <c r="J6" s="4"/>
      <c r="K6" s="4"/>
      <c r="L6" s="4" t="s">
        <v>14</v>
      </c>
      <c r="M6" s="4" t="s">
        <v>784</v>
      </c>
      <c r="N6" s="4"/>
      <c r="O6" s="4" t="s">
        <v>790</v>
      </c>
      <c r="P6" s="154"/>
      <c r="Q6" s="133"/>
      <c r="R6" s="1" t="s">
        <v>945</v>
      </c>
    </row>
    <row r="7" spans="1:18" x14ac:dyDescent="0.35">
      <c r="A7" s="4">
        <v>1420</v>
      </c>
      <c r="B7" s="5">
        <v>5035</v>
      </c>
      <c r="C7" s="5">
        <v>3384</v>
      </c>
      <c r="D7" s="93" t="s">
        <v>871</v>
      </c>
      <c r="E7" s="6" t="s">
        <v>111</v>
      </c>
      <c r="F7" s="4" t="s">
        <v>13</v>
      </c>
      <c r="G7" s="4" t="str">
        <f>VLOOKUP(C7,Sheet3!C:D,2,FALSE)</f>
        <v>CH</v>
      </c>
      <c r="H7" s="4"/>
      <c r="I7" s="4" t="s">
        <v>785</v>
      </c>
      <c r="J7" s="4"/>
      <c r="K7" s="4"/>
      <c r="L7" s="4" t="s">
        <v>14</v>
      </c>
      <c r="M7" s="4" t="s">
        <v>785</v>
      </c>
      <c r="N7" s="4"/>
      <c r="O7" s="4" t="s">
        <v>790</v>
      </c>
      <c r="P7" s="154"/>
      <c r="Q7" s="133"/>
      <c r="R7" s="1" t="s">
        <v>946</v>
      </c>
    </row>
    <row r="8" spans="1:18" x14ac:dyDescent="0.35">
      <c r="A8" s="4">
        <v>1420</v>
      </c>
      <c r="B8" s="5" t="s">
        <v>92</v>
      </c>
      <c r="C8" s="5">
        <v>3385</v>
      </c>
      <c r="D8" s="93" t="s">
        <v>871</v>
      </c>
      <c r="E8" s="6" t="s">
        <v>112</v>
      </c>
      <c r="F8" s="4" t="s">
        <v>13</v>
      </c>
      <c r="G8" s="4" t="str">
        <f>VLOOKUP(C8,Sheet3!C:D,2,FALSE)</f>
        <v>CI</v>
      </c>
      <c r="H8" s="4"/>
      <c r="I8" s="4" t="s">
        <v>792</v>
      </c>
      <c r="J8" s="4"/>
      <c r="K8" s="4"/>
      <c r="L8" s="4" t="s">
        <v>14</v>
      </c>
      <c r="M8" s="4" t="s">
        <v>792</v>
      </c>
      <c r="N8" s="4"/>
      <c r="O8" s="4" t="s">
        <v>790</v>
      </c>
      <c r="P8" s="154"/>
      <c r="Q8" s="133"/>
      <c r="R8" s="1" t="s">
        <v>947</v>
      </c>
    </row>
    <row r="9" spans="1:18" x14ac:dyDescent="0.35">
      <c r="A9" s="4">
        <v>1420</v>
      </c>
      <c r="B9" s="5" t="s">
        <v>93</v>
      </c>
      <c r="C9" s="5">
        <v>3386</v>
      </c>
      <c r="D9" s="93" t="s">
        <v>871</v>
      </c>
      <c r="E9" s="6" t="s">
        <v>113</v>
      </c>
      <c r="F9" s="4" t="s">
        <v>13</v>
      </c>
      <c r="G9" s="4" t="str">
        <f>VLOOKUP(C9,Sheet3!C:D,2,FALSE)</f>
        <v>CJ</v>
      </c>
      <c r="H9" s="4"/>
      <c r="I9" s="4" t="s">
        <v>794</v>
      </c>
      <c r="J9" s="4"/>
      <c r="K9" s="4"/>
      <c r="L9" s="4" t="s">
        <v>14</v>
      </c>
      <c r="M9" s="4" t="s">
        <v>794</v>
      </c>
      <c r="N9" s="4"/>
      <c r="O9" s="4" t="s">
        <v>790</v>
      </c>
      <c r="P9" s="154"/>
      <c r="Q9" s="133"/>
      <c r="R9" s="1" t="s">
        <v>948</v>
      </c>
    </row>
    <row r="10" spans="1:18" x14ac:dyDescent="0.35">
      <c r="A10" s="4">
        <v>1420</v>
      </c>
      <c r="B10" s="5" t="s">
        <v>94</v>
      </c>
      <c r="C10" s="5">
        <v>3374</v>
      </c>
      <c r="D10" s="93" t="s">
        <v>871</v>
      </c>
      <c r="E10" s="6" t="s">
        <v>114</v>
      </c>
      <c r="F10" s="4" t="s">
        <v>13</v>
      </c>
      <c r="G10" s="4" t="str">
        <f>VLOOKUP(C10,Sheet3!C:D,2,FALSE)</f>
        <v>CK</v>
      </c>
      <c r="H10" s="4"/>
      <c r="I10" s="4" t="s">
        <v>795</v>
      </c>
      <c r="J10" s="4"/>
      <c r="K10" s="4"/>
      <c r="L10" s="4" t="s">
        <v>14</v>
      </c>
      <c r="M10" s="4" t="s">
        <v>795</v>
      </c>
      <c r="N10" s="4"/>
      <c r="O10" s="4" t="s">
        <v>790</v>
      </c>
      <c r="P10" s="154"/>
      <c r="Q10" s="133"/>
      <c r="R10" s="1" t="s">
        <v>949</v>
      </c>
    </row>
    <row r="11" spans="1:18" x14ac:dyDescent="0.35">
      <c r="A11" s="4">
        <v>1420</v>
      </c>
      <c r="B11" s="5" t="s">
        <v>95</v>
      </c>
      <c r="C11" s="5">
        <v>3375</v>
      </c>
      <c r="D11" s="93" t="s">
        <v>871</v>
      </c>
      <c r="E11" s="6" t="s">
        <v>96</v>
      </c>
      <c r="F11" s="4" t="s">
        <v>13</v>
      </c>
      <c r="G11" s="4" t="str">
        <f>VLOOKUP(C11,Sheet3!C:D,2,FALSE)</f>
        <v>CL</v>
      </c>
      <c r="H11" s="4"/>
      <c r="I11" s="4" t="s">
        <v>796</v>
      </c>
      <c r="J11" s="4"/>
      <c r="K11" s="4"/>
      <c r="L11" s="4" t="s">
        <v>14</v>
      </c>
      <c r="M11" s="4" t="s">
        <v>796</v>
      </c>
      <c r="N11" s="4"/>
      <c r="O11" s="4" t="s">
        <v>790</v>
      </c>
      <c r="P11" s="154"/>
      <c r="Q11" s="133"/>
      <c r="R11" s="1" t="s">
        <v>950</v>
      </c>
    </row>
    <row r="12" spans="1:18" x14ac:dyDescent="0.35">
      <c r="A12" s="4">
        <v>1420</v>
      </c>
      <c r="B12" s="5" t="s">
        <v>97</v>
      </c>
      <c r="C12" s="5">
        <v>3376</v>
      </c>
      <c r="D12" s="93" t="s">
        <v>871</v>
      </c>
      <c r="E12" s="6" t="s">
        <v>98</v>
      </c>
      <c r="F12" s="4" t="s">
        <v>13</v>
      </c>
      <c r="G12" s="4" t="str">
        <f>VLOOKUP(C12,Sheet3!C:D,2,FALSE)</f>
        <v>CM</v>
      </c>
      <c r="H12" s="4"/>
      <c r="I12" s="4" t="s">
        <v>797</v>
      </c>
      <c r="J12" s="4"/>
      <c r="K12" s="4"/>
      <c r="L12" s="4" t="s">
        <v>14</v>
      </c>
      <c r="M12" s="4" t="s">
        <v>797</v>
      </c>
      <c r="N12" s="4"/>
      <c r="O12" s="4" t="s">
        <v>790</v>
      </c>
      <c r="P12" s="154"/>
      <c r="Q12" s="133"/>
      <c r="R12" s="1" t="s">
        <v>951</v>
      </c>
    </row>
    <row r="13" spans="1:18" x14ac:dyDescent="0.35">
      <c r="A13" s="4">
        <v>1420</v>
      </c>
      <c r="B13" s="5" t="s">
        <v>99</v>
      </c>
      <c r="C13" s="5">
        <v>3377</v>
      </c>
      <c r="D13" s="93" t="s">
        <v>871</v>
      </c>
      <c r="E13" s="6" t="s">
        <v>100</v>
      </c>
      <c r="F13" s="4" t="s">
        <v>13</v>
      </c>
      <c r="G13" s="4" t="str">
        <f>VLOOKUP(C13,Sheet3!C:D,2,FALSE)</f>
        <v>CN</v>
      </c>
      <c r="H13" s="4"/>
      <c r="I13" s="4" t="s">
        <v>798</v>
      </c>
      <c r="J13" s="4"/>
      <c r="K13" s="4"/>
      <c r="L13" s="4" t="s">
        <v>14</v>
      </c>
      <c r="M13" s="4" t="s">
        <v>798</v>
      </c>
      <c r="N13" s="4"/>
      <c r="O13" s="4" t="s">
        <v>790</v>
      </c>
      <c r="P13" s="154"/>
      <c r="Q13" s="133"/>
      <c r="R13" s="1" t="s">
        <v>952</v>
      </c>
    </row>
    <row r="14" spans="1:18" x14ac:dyDescent="0.35">
      <c r="A14" s="4">
        <v>1420</v>
      </c>
      <c r="B14" s="5" t="s">
        <v>101</v>
      </c>
      <c r="C14" s="5">
        <v>3378</v>
      </c>
      <c r="D14" s="93" t="s">
        <v>871</v>
      </c>
      <c r="E14" s="6" t="s">
        <v>102</v>
      </c>
      <c r="F14" s="4" t="s">
        <v>13</v>
      </c>
      <c r="G14" s="4" t="str">
        <f>VLOOKUP(C14,Sheet3!C:D,2,FALSE)</f>
        <v>CO</v>
      </c>
      <c r="H14" s="4"/>
      <c r="I14" s="4" t="s">
        <v>799</v>
      </c>
      <c r="J14" s="4"/>
      <c r="K14" s="4"/>
      <c r="L14" s="4" t="s">
        <v>14</v>
      </c>
      <c r="M14" s="4" t="s">
        <v>799</v>
      </c>
      <c r="N14" s="4"/>
      <c r="O14" s="4" t="s">
        <v>790</v>
      </c>
      <c r="P14" s="154"/>
      <c r="Q14" s="133"/>
      <c r="R14" s="1" t="s">
        <v>953</v>
      </c>
    </row>
    <row r="15" spans="1:18" x14ac:dyDescent="0.35">
      <c r="A15" s="4">
        <v>1420</v>
      </c>
      <c r="B15" s="5" t="s">
        <v>103</v>
      </c>
      <c r="C15" s="5">
        <v>3379</v>
      </c>
      <c r="D15" s="93" t="s">
        <v>871</v>
      </c>
      <c r="E15" s="6" t="s">
        <v>104</v>
      </c>
      <c r="F15" s="4" t="s">
        <v>13</v>
      </c>
      <c r="G15" s="4" t="str">
        <f>VLOOKUP(C15,Sheet3!C:D,2,FALSE)</f>
        <v>CP</v>
      </c>
      <c r="H15" s="4"/>
      <c r="I15" s="4" t="s">
        <v>800</v>
      </c>
      <c r="J15" s="4"/>
      <c r="K15" s="4"/>
      <c r="L15" s="4" t="s">
        <v>14</v>
      </c>
      <c r="M15" s="4" t="s">
        <v>800</v>
      </c>
      <c r="N15" s="4"/>
      <c r="O15" s="4" t="s">
        <v>790</v>
      </c>
      <c r="P15" s="154"/>
      <c r="Q15" s="133"/>
      <c r="R15" s="1" t="s">
        <v>954</v>
      </c>
    </row>
    <row r="16" spans="1:18" x14ac:dyDescent="0.35">
      <c r="A16" s="4">
        <v>1420</v>
      </c>
      <c r="B16" s="5" t="s">
        <v>105</v>
      </c>
      <c r="C16" s="5">
        <v>3380</v>
      </c>
      <c r="D16" s="93" t="s">
        <v>871</v>
      </c>
      <c r="E16" s="6" t="s">
        <v>106</v>
      </c>
      <c r="F16" s="4" t="s">
        <v>13</v>
      </c>
      <c r="G16" s="4" t="str">
        <f>VLOOKUP(C16,Sheet3!C:D,2,FALSE)</f>
        <v>CQ</v>
      </c>
      <c r="H16" s="4"/>
      <c r="I16" s="4" t="s">
        <v>801</v>
      </c>
      <c r="J16" s="4"/>
      <c r="K16" s="4"/>
      <c r="L16" s="4" t="s">
        <v>14</v>
      </c>
      <c r="M16" s="4" t="s">
        <v>801</v>
      </c>
      <c r="N16" s="4"/>
      <c r="O16" s="4" t="s">
        <v>790</v>
      </c>
      <c r="P16" s="154"/>
      <c r="Q16" s="133"/>
      <c r="R16" s="1" t="s">
        <v>955</v>
      </c>
    </row>
    <row r="17" spans="1:18" ht="16.5" customHeight="1" x14ac:dyDescent="0.35">
      <c r="A17" s="4">
        <v>1420</v>
      </c>
      <c r="B17" s="5" t="s">
        <v>107</v>
      </c>
      <c r="C17" s="5">
        <v>3381</v>
      </c>
      <c r="D17" s="93" t="s">
        <v>871</v>
      </c>
      <c r="E17" s="6" t="s">
        <v>108</v>
      </c>
      <c r="F17" s="4" t="s">
        <v>13</v>
      </c>
      <c r="G17" s="4" t="str">
        <f>VLOOKUP(C17,Sheet3!C:D,2,FALSE)</f>
        <v>CR</v>
      </c>
      <c r="H17" s="4"/>
      <c r="I17" s="4" t="s">
        <v>802</v>
      </c>
      <c r="J17" s="4"/>
      <c r="K17" s="4"/>
      <c r="L17" s="4" t="s">
        <v>14</v>
      </c>
      <c r="M17" s="4" t="s">
        <v>802</v>
      </c>
      <c r="N17" s="4" t="s">
        <v>116</v>
      </c>
      <c r="O17" s="4" t="s">
        <v>790</v>
      </c>
      <c r="P17" s="154"/>
      <c r="Q17" s="133"/>
      <c r="R17" s="1" t="s">
        <v>956</v>
      </c>
    </row>
    <row r="18" spans="1:18" x14ac:dyDescent="0.35">
      <c r="A18" s="4">
        <v>1420</v>
      </c>
      <c r="B18" s="5" t="s">
        <v>109</v>
      </c>
      <c r="C18" s="5">
        <v>3382</v>
      </c>
      <c r="D18" s="93" t="s">
        <v>871</v>
      </c>
      <c r="E18" s="6" t="s">
        <v>110</v>
      </c>
      <c r="F18" s="4" t="s">
        <v>13</v>
      </c>
      <c r="G18" s="4" t="str">
        <f>VLOOKUP(C18,Sheet3!C:D,2,FALSE)</f>
        <v>CS</v>
      </c>
      <c r="H18" s="4"/>
      <c r="I18" s="4" t="s">
        <v>803</v>
      </c>
      <c r="J18" s="4"/>
      <c r="K18" s="4"/>
      <c r="L18" s="4" t="s">
        <v>14</v>
      </c>
      <c r="M18" s="4" t="s">
        <v>803</v>
      </c>
      <c r="N18" s="4"/>
      <c r="O18" s="4" t="s">
        <v>790</v>
      </c>
      <c r="P18" s="155"/>
      <c r="Q18" s="134"/>
      <c r="R18" s="1" t="s">
        <v>957</v>
      </c>
    </row>
    <row r="19" spans="1:18" x14ac:dyDescent="0.35">
      <c r="A19" s="89">
        <v>1420</v>
      </c>
      <c r="B19" s="90">
        <v>7998</v>
      </c>
      <c r="C19" s="90">
        <v>7998</v>
      </c>
      <c r="D19" s="160" t="s">
        <v>871</v>
      </c>
      <c r="E19" s="91" t="s">
        <v>787</v>
      </c>
      <c r="F19" s="89" t="s">
        <v>13</v>
      </c>
      <c r="G19" s="89" t="s">
        <v>770</v>
      </c>
      <c r="H19" s="89"/>
      <c r="I19" s="89" t="s">
        <v>779</v>
      </c>
      <c r="J19" s="89"/>
      <c r="K19" s="89"/>
      <c r="L19" s="89" t="s">
        <v>14</v>
      </c>
      <c r="M19" s="89" t="s">
        <v>779</v>
      </c>
      <c r="N19" s="89"/>
      <c r="O19" s="89" t="s">
        <v>971</v>
      </c>
      <c r="P19" s="148" t="s">
        <v>976</v>
      </c>
      <c r="Q19" s="1"/>
      <c r="R19" s="1" t="s">
        <v>972</v>
      </c>
    </row>
    <row r="20" spans="1:18" ht="87" customHeight="1" x14ac:dyDescent="0.35">
      <c r="A20" s="158">
        <v>1420</v>
      </c>
      <c r="B20" s="156" t="s">
        <v>534</v>
      </c>
      <c r="C20" s="156">
        <v>3014</v>
      </c>
      <c r="D20" s="94" t="s">
        <v>846</v>
      </c>
      <c r="E20" s="157" t="s">
        <v>535</v>
      </c>
      <c r="F20" s="156" t="s">
        <v>536</v>
      </c>
      <c r="G20" s="156" t="str">
        <f>VLOOKUP(C20,Sheet3!C:D,2,FALSE)</f>
        <v>C5</v>
      </c>
      <c r="H20" s="157"/>
      <c r="I20" s="156" t="s">
        <v>849</v>
      </c>
      <c r="J20" s="157"/>
      <c r="K20" s="157"/>
      <c r="L20" s="156" t="s">
        <v>780</v>
      </c>
      <c r="M20" s="156" t="s">
        <v>833</v>
      </c>
      <c r="N20" s="157"/>
      <c r="O20" s="156" t="s">
        <v>835</v>
      </c>
      <c r="P20" s="143" t="s">
        <v>974</v>
      </c>
      <c r="Q20" s="1" t="s">
        <v>970</v>
      </c>
      <c r="R20" s="109" t="s">
        <v>960</v>
      </c>
    </row>
    <row r="21" spans="1:18" ht="86" customHeight="1" x14ac:dyDescent="0.35">
      <c r="A21" s="159">
        <v>1420</v>
      </c>
      <c r="B21" s="156">
        <v>5663</v>
      </c>
      <c r="C21" s="156">
        <v>3368</v>
      </c>
      <c r="D21" s="94" t="s">
        <v>871</v>
      </c>
      <c r="E21" s="101" t="s">
        <v>939</v>
      </c>
      <c r="F21" s="86" t="s">
        <v>538</v>
      </c>
      <c r="G21" s="86" t="str">
        <f>VLOOKUP(C21,Sheet3!C:D,2,FALSE)</f>
        <v>CT</v>
      </c>
      <c r="H21" s="101"/>
      <c r="I21" s="86" t="s">
        <v>940</v>
      </c>
      <c r="J21" s="101"/>
      <c r="K21" s="101"/>
      <c r="L21" s="86" t="s">
        <v>781</v>
      </c>
      <c r="M21" s="86" t="s">
        <v>834</v>
      </c>
      <c r="N21" s="101"/>
      <c r="O21" s="86" t="s">
        <v>835</v>
      </c>
      <c r="P21" s="143" t="s">
        <v>975</v>
      </c>
      <c r="Q21" s="147" t="s">
        <v>967</v>
      </c>
      <c r="R21" s="1" t="s">
        <v>961</v>
      </c>
    </row>
    <row r="22" spans="1:18" x14ac:dyDescent="0.35">
      <c r="A22" s="135">
        <v>1610</v>
      </c>
      <c r="B22" s="136">
        <v>5280</v>
      </c>
      <c r="C22" s="136">
        <v>3005</v>
      </c>
      <c r="D22" s="137" t="s">
        <v>848</v>
      </c>
      <c r="E22" s="138" t="s">
        <v>791</v>
      </c>
      <c r="F22" s="139" t="s">
        <v>544</v>
      </c>
      <c r="G22" s="139" t="str">
        <f>VLOOKUP(C22,Sheet3!C:D,2,FALSE)</f>
        <v>BZ</v>
      </c>
      <c r="H22" s="138"/>
      <c r="I22" s="139" t="s">
        <v>785</v>
      </c>
      <c r="J22" s="138"/>
      <c r="K22" s="138"/>
      <c r="L22" s="139" t="s">
        <v>785</v>
      </c>
      <c r="M22" s="140" t="s">
        <v>968</v>
      </c>
      <c r="N22" s="138"/>
      <c r="O22" s="152" t="s">
        <v>835</v>
      </c>
      <c r="P22" s="144" t="s">
        <v>969</v>
      </c>
      <c r="Q22" s="149"/>
      <c r="R22" s="1" t="s">
        <v>962</v>
      </c>
    </row>
    <row r="23" spans="1:18" x14ac:dyDescent="0.35">
      <c r="A23" s="139">
        <v>1510</v>
      </c>
      <c r="B23" s="139" t="s">
        <v>567</v>
      </c>
      <c r="C23" s="139">
        <v>3363</v>
      </c>
      <c r="D23" s="137" t="s">
        <v>845</v>
      </c>
      <c r="E23" s="137" t="s">
        <v>839</v>
      </c>
      <c r="F23" s="139" t="s">
        <v>840</v>
      </c>
      <c r="G23" s="139" t="s">
        <v>622</v>
      </c>
      <c r="H23" s="138"/>
      <c r="I23" s="139" t="s">
        <v>841</v>
      </c>
      <c r="J23" s="138"/>
      <c r="K23" s="138"/>
      <c r="L23" s="138"/>
      <c r="M23" s="139" t="s">
        <v>841</v>
      </c>
      <c r="N23" s="138"/>
      <c r="O23" s="138"/>
      <c r="P23" s="145"/>
      <c r="Q23" s="150"/>
      <c r="R23" s="1" t="s">
        <v>958</v>
      </c>
    </row>
    <row r="24" spans="1:18" x14ac:dyDescent="0.35">
      <c r="A24" s="139">
        <v>1520</v>
      </c>
      <c r="B24" s="139" t="s">
        <v>540</v>
      </c>
      <c r="C24" s="139">
        <v>3369</v>
      </c>
      <c r="D24" s="137"/>
      <c r="E24" s="137" t="s">
        <v>541</v>
      </c>
      <c r="F24" s="139" t="s">
        <v>543</v>
      </c>
      <c r="G24" s="139" t="s">
        <v>837</v>
      </c>
      <c r="H24" s="141"/>
      <c r="I24" s="141"/>
      <c r="J24" s="141"/>
      <c r="K24" s="141"/>
      <c r="L24" s="142"/>
      <c r="M24" s="141" t="s">
        <v>793</v>
      </c>
      <c r="N24" s="141"/>
      <c r="O24" s="142"/>
      <c r="P24" s="146"/>
      <c r="Q24" s="151"/>
      <c r="R24" s="1" t="s">
        <v>959</v>
      </c>
    </row>
  </sheetData>
  <mergeCells count="5">
    <mergeCell ref="A1:O1"/>
    <mergeCell ref="P4:P18"/>
    <mergeCell ref="Q4:Q18"/>
    <mergeCell ref="P22:P24"/>
    <mergeCell ref="Q22:Q24"/>
  </mergeCells>
  <phoneticPr fontId="10" type="noConversion"/>
  <hyperlinks>
    <hyperlink ref="O2" location="P.Groups!A1" display="Purchasing Groups " xr:uid="{252383A4-F5D4-484A-A72D-82466E059311}"/>
    <hyperlink ref="P3" r:id="rId1" xr:uid="{B5158E8C-197E-4ABA-A62A-34DB951B7919}"/>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E1E76-7A0E-4CD4-BDAF-0455D966089D}">
  <dimension ref="A1:M47"/>
  <sheetViews>
    <sheetView workbookViewId="0">
      <selection activeCell="D31" sqref="D31"/>
    </sheetView>
  </sheetViews>
  <sheetFormatPr defaultRowHeight="14.5" x14ac:dyDescent="0.35"/>
  <cols>
    <col min="1" max="1" width="20.81640625" bestFit="1" customWidth="1"/>
    <col min="2" max="2" width="41.54296875" style="95" customWidth="1"/>
    <col min="3" max="3" width="29.7265625" customWidth="1"/>
    <col min="4" max="4" width="31.1796875" customWidth="1"/>
    <col min="5" max="5" width="23.26953125" style="102" customWidth="1"/>
    <col min="7" max="7" width="8.7265625" customWidth="1"/>
    <col min="8" max="8" width="14.54296875" customWidth="1"/>
    <col min="9" max="12" width="8.7265625" customWidth="1"/>
    <col min="13" max="13" width="10.453125" customWidth="1"/>
  </cols>
  <sheetData>
    <row r="1" spans="1:13" ht="18.5" x14ac:dyDescent="0.45">
      <c r="A1" s="122" t="s">
        <v>865</v>
      </c>
      <c r="B1" s="122"/>
      <c r="C1" s="122"/>
      <c r="D1" s="122"/>
      <c r="E1" s="122"/>
      <c r="F1" s="116" t="s">
        <v>964</v>
      </c>
      <c r="G1" s="117" t="s">
        <v>855</v>
      </c>
      <c r="H1" s="121" t="s">
        <v>864</v>
      </c>
      <c r="I1" s="121"/>
      <c r="J1" s="121"/>
      <c r="K1" s="121" t="s">
        <v>891</v>
      </c>
      <c r="L1" s="121"/>
      <c r="M1" s="117" t="s">
        <v>892</v>
      </c>
    </row>
    <row r="2" spans="1:13" ht="16" x14ac:dyDescent="0.35">
      <c r="A2" s="98" t="s">
        <v>913</v>
      </c>
      <c r="B2" s="99" t="s">
        <v>236</v>
      </c>
      <c r="C2" s="98" t="s">
        <v>914</v>
      </c>
      <c r="D2" s="98" t="s">
        <v>915</v>
      </c>
      <c r="E2" s="100" t="s">
        <v>547</v>
      </c>
      <c r="F2" s="118"/>
      <c r="G2" s="110" t="s">
        <v>10</v>
      </c>
      <c r="H2" s="111" t="s">
        <v>963</v>
      </c>
      <c r="I2" s="111" t="s">
        <v>534</v>
      </c>
      <c r="J2" s="111">
        <v>5663</v>
      </c>
      <c r="K2" s="111">
        <v>5280</v>
      </c>
      <c r="L2" s="112" t="s">
        <v>567</v>
      </c>
      <c r="M2" s="112" t="s">
        <v>540</v>
      </c>
    </row>
    <row r="3" spans="1:13" x14ac:dyDescent="0.35">
      <c r="A3" s="113" t="s">
        <v>850</v>
      </c>
      <c r="B3" s="113" t="s">
        <v>851</v>
      </c>
      <c r="C3" s="106" t="s">
        <v>859</v>
      </c>
      <c r="D3" s="106" t="s">
        <v>589</v>
      </c>
      <c r="E3" s="86" t="s">
        <v>869</v>
      </c>
      <c r="F3" s="1"/>
      <c r="G3" s="115" t="s">
        <v>247</v>
      </c>
      <c r="H3" s="114" t="s">
        <v>872</v>
      </c>
      <c r="I3" s="114" t="s">
        <v>872</v>
      </c>
      <c r="J3" s="114" t="s">
        <v>872</v>
      </c>
      <c r="K3" s="114" t="s">
        <v>872</v>
      </c>
      <c r="L3" s="114" t="s">
        <v>872</v>
      </c>
      <c r="M3" s="114" t="s">
        <v>872</v>
      </c>
    </row>
    <row r="4" spans="1:13" x14ac:dyDescent="0.35">
      <c r="A4" s="101" t="s">
        <v>850</v>
      </c>
      <c r="B4" s="101" t="s">
        <v>851</v>
      </c>
      <c r="C4" s="1" t="s">
        <v>860</v>
      </c>
      <c r="D4" s="1" t="s">
        <v>590</v>
      </c>
      <c r="E4" s="86" t="s">
        <v>869</v>
      </c>
      <c r="F4" s="1"/>
      <c r="G4" s="96" t="s">
        <v>247</v>
      </c>
      <c r="H4" s="86" t="s">
        <v>872</v>
      </c>
      <c r="I4" s="86" t="s">
        <v>872</v>
      </c>
      <c r="J4" s="86" t="s">
        <v>872</v>
      </c>
      <c r="K4" s="86" t="s">
        <v>872</v>
      </c>
      <c r="L4" s="86" t="s">
        <v>872</v>
      </c>
      <c r="M4" s="86" t="s">
        <v>872</v>
      </c>
    </row>
    <row r="5" spans="1:13" x14ac:dyDescent="0.35">
      <c r="A5" s="101" t="s">
        <v>850</v>
      </c>
      <c r="B5" s="101" t="s">
        <v>856</v>
      </c>
      <c r="C5" s="1" t="s">
        <v>2</v>
      </c>
      <c r="D5" s="1" t="s">
        <v>861</v>
      </c>
      <c r="E5" s="86" t="s">
        <v>875</v>
      </c>
      <c r="F5" s="1"/>
      <c r="G5" s="96" t="s">
        <v>247</v>
      </c>
      <c r="H5" s="86"/>
      <c r="I5" s="86"/>
      <c r="J5" s="86"/>
      <c r="K5" s="86"/>
      <c r="L5" s="86"/>
      <c r="M5" s="86"/>
    </row>
    <row r="6" spans="1:13" x14ac:dyDescent="0.35">
      <c r="A6" s="101" t="s">
        <v>850</v>
      </c>
      <c r="B6" s="101" t="s">
        <v>856</v>
      </c>
      <c r="C6" s="1" t="s">
        <v>807</v>
      </c>
      <c r="D6" s="1" t="s">
        <v>862</v>
      </c>
      <c r="E6" s="86" t="s">
        <v>869</v>
      </c>
      <c r="F6" s="1"/>
      <c r="G6" s="96" t="s">
        <v>247</v>
      </c>
      <c r="H6" s="86"/>
      <c r="I6" s="86"/>
      <c r="J6" s="86"/>
      <c r="K6" s="86"/>
      <c r="L6" s="86"/>
      <c r="M6" s="86"/>
    </row>
    <row r="7" spans="1:13" x14ac:dyDescent="0.35">
      <c r="A7" s="101" t="s">
        <v>850</v>
      </c>
      <c r="B7" s="101" t="s">
        <v>856</v>
      </c>
      <c r="C7" s="1" t="s">
        <v>857</v>
      </c>
      <c r="D7" s="1" t="s">
        <v>862</v>
      </c>
      <c r="E7" s="86" t="s">
        <v>869</v>
      </c>
      <c r="F7" s="1"/>
      <c r="G7" s="96" t="s">
        <v>247</v>
      </c>
      <c r="H7" s="86"/>
      <c r="I7" s="86"/>
      <c r="J7" s="86"/>
      <c r="K7" s="86"/>
      <c r="L7" s="86"/>
      <c r="M7" s="86"/>
    </row>
    <row r="8" spans="1:13" x14ac:dyDescent="0.35">
      <c r="A8" s="101" t="s">
        <v>850</v>
      </c>
      <c r="B8" s="101" t="s">
        <v>856</v>
      </c>
      <c r="C8" s="1" t="s">
        <v>858</v>
      </c>
      <c r="D8" s="1" t="s">
        <v>863</v>
      </c>
      <c r="E8" s="86" t="s">
        <v>869</v>
      </c>
      <c r="F8" s="1"/>
      <c r="G8" s="96" t="s">
        <v>247</v>
      </c>
      <c r="H8" s="86"/>
      <c r="I8" s="86"/>
      <c r="J8" s="86"/>
      <c r="K8" s="86"/>
      <c r="L8" s="86"/>
      <c r="M8" s="86"/>
    </row>
    <row r="9" spans="1:13" x14ac:dyDescent="0.35">
      <c r="A9" s="101" t="s">
        <v>897</v>
      </c>
      <c r="B9" s="101" t="s">
        <v>929</v>
      </c>
      <c r="C9" s="1" t="s">
        <v>853</v>
      </c>
      <c r="D9" s="1" t="s">
        <v>867</v>
      </c>
      <c r="E9" s="86" t="s">
        <v>874</v>
      </c>
      <c r="F9" s="1"/>
      <c r="G9" s="96" t="s">
        <v>247</v>
      </c>
      <c r="H9" s="86"/>
      <c r="I9" s="86"/>
      <c r="J9" s="86"/>
      <c r="K9" s="86"/>
      <c r="L9" s="86"/>
      <c r="M9" s="86"/>
    </row>
    <row r="10" spans="1:13" x14ac:dyDescent="0.35">
      <c r="A10" s="101" t="s">
        <v>897</v>
      </c>
      <c r="B10" s="101" t="s">
        <v>930</v>
      </c>
      <c r="C10" s="1" t="s">
        <v>854</v>
      </c>
      <c r="D10" s="1" t="s">
        <v>867</v>
      </c>
      <c r="E10" s="86" t="s">
        <v>874</v>
      </c>
      <c r="F10" s="1"/>
      <c r="G10" s="96" t="s">
        <v>247</v>
      </c>
      <c r="H10" s="86"/>
      <c r="I10" s="86"/>
      <c r="J10" s="86"/>
      <c r="K10" s="86"/>
      <c r="L10" s="86"/>
      <c r="M10" s="86"/>
    </row>
    <row r="11" spans="1:13" x14ac:dyDescent="0.35">
      <c r="A11" s="101" t="s">
        <v>850</v>
      </c>
      <c r="B11" s="101" t="s">
        <v>852</v>
      </c>
      <c r="C11" s="1" t="s">
        <v>935</v>
      </c>
      <c r="D11" s="1" t="s">
        <v>873</v>
      </c>
      <c r="E11" s="86" t="s">
        <v>869</v>
      </c>
      <c r="F11" s="1"/>
      <c r="G11" s="96" t="s">
        <v>247</v>
      </c>
      <c r="H11" s="86"/>
      <c r="I11" s="86"/>
      <c r="J11" s="86"/>
      <c r="K11" s="86"/>
      <c r="L11" s="86"/>
      <c r="M11" s="86"/>
    </row>
    <row r="12" spans="1:13" x14ac:dyDescent="0.35">
      <c r="A12" s="101" t="s">
        <v>850</v>
      </c>
      <c r="B12" s="101" t="s">
        <v>937</v>
      </c>
      <c r="C12" s="1" t="s">
        <v>936</v>
      </c>
      <c r="D12" s="1" t="s">
        <v>876</v>
      </c>
      <c r="E12" s="86" t="s">
        <v>868</v>
      </c>
      <c r="F12" s="1"/>
      <c r="G12" s="96" t="s">
        <v>247</v>
      </c>
      <c r="H12" s="86"/>
      <c r="I12" s="86"/>
      <c r="J12" s="86"/>
      <c r="K12" s="86"/>
      <c r="L12" s="86"/>
      <c r="M12" s="86"/>
    </row>
    <row r="13" spans="1:13" x14ac:dyDescent="0.35">
      <c r="A13" s="101" t="s">
        <v>850</v>
      </c>
      <c r="B13" s="94" t="s">
        <v>881</v>
      </c>
      <c r="C13" s="1" t="s">
        <v>866</v>
      </c>
      <c r="D13" s="1" t="s">
        <v>901</v>
      </c>
      <c r="E13" s="86" t="s">
        <v>869</v>
      </c>
      <c r="F13" s="1"/>
      <c r="G13" s="96" t="s">
        <v>247</v>
      </c>
      <c r="H13" s="86" t="s">
        <v>872</v>
      </c>
      <c r="I13" s="86" t="s">
        <v>872</v>
      </c>
      <c r="J13" s="86" t="s">
        <v>872</v>
      </c>
      <c r="K13" s="86" t="s">
        <v>872</v>
      </c>
      <c r="L13" s="86" t="s">
        <v>872</v>
      </c>
      <c r="M13" s="86" t="s">
        <v>872</v>
      </c>
    </row>
    <row r="14" spans="1:13" x14ac:dyDescent="0.35">
      <c r="A14" s="101" t="s">
        <v>850</v>
      </c>
      <c r="B14" s="101" t="s">
        <v>877</v>
      </c>
      <c r="C14" s="1" t="s">
        <v>878</v>
      </c>
      <c r="D14" s="1"/>
      <c r="E14" s="86" t="s">
        <v>869</v>
      </c>
      <c r="F14" s="1"/>
      <c r="G14" s="96" t="s">
        <v>247</v>
      </c>
      <c r="H14" s="86"/>
      <c r="I14" s="86"/>
      <c r="J14" s="86"/>
      <c r="K14" s="86"/>
      <c r="L14" s="86"/>
      <c r="M14" s="86"/>
    </row>
    <row r="15" spans="1:13" x14ac:dyDescent="0.35">
      <c r="A15" s="101" t="s">
        <v>850</v>
      </c>
      <c r="B15" s="101" t="s">
        <v>877</v>
      </c>
      <c r="C15" s="1" t="s">
        <v>885</v>
      </c>
      <c r="D15" s="1"/>
      <c r="E15" s="86" t="s">
        <v>870</v>
      </c>
      <c r="F15" s="1"/>
      <c r="G15" s="96" t="s">
        <v>247</v>
      </c>
      <c r="H15" s="86"/>
      <c r="I15" s="86"/>
      <c r="J15" s="86"/>
      <c r="K15" s="86"/>
      <c r="L15" s="86"/>
      <c r="M15" s="86"/>
    </row>
    <row r="16" spans="1:13" x14ac:dyDescent="0.35">
      <c r="A16" s="101" t="s">
        <v>850</v>
      </c>
      <c r="B16" s="101" t="s">
        <v>877</v>
      </c>
      <c r="C16" s="1" t="s">
        <v>879</v>
      </c>
      <c r="D16" s="1"/>
      <c r="E16" s="86" t="s">
        <v>880</v>
      </c>
      <c r="F16" s="1"/>
      <c r="G16" s="96" t="s">
        <v>247</v>
      </c>
      <c r="H16" s="86"/>
      <c r="I16" s="86"/>
      <c r="J16" s="86"/>
      <c r="K16" s="86"/>
      <c r="L16" s="86"/>
      <c r="M16" s="86"/>
    </row>
    <row r="17" spans="1:13" x14ac:dyDescent="0.35">
      <c r="A17" s="101" t="s">
        <v>850</v>
      </c>
      <c r="B17" s="101" t="s">
        <v>912</v>
      </c>
      <c r="C17" s="1" t="s">
        <v>571</v>
      </c>
      <c r="D17" s="1"/>
      <c r="E17" s="86" t="s">
        <v>870</v>
      </c>
      <c r="F17" s="1"/>
      <c r="G17" s="96" t="s">
        <v>247</v>
      </c>
      <c r="H17" s="86"/>
      <c r="I17" s="86"/>
      <c r="J17" s="86"/>
      <c r="K17" s="86"/>
      <c r="L17" s="86"/>
      <c r="M17" s="86"/>
    </row>
    <row r="18" spans="1:13" x14ac:dyDescent="0.35">
      <c r="A18" s="101" t="s">
        <v>850</v>
      </c>
      <c r="B18" s="101" t="s">
        <v>912</v>
      </c>
      <c r="C18" s="1" t="s">
        <v>575</v>
      </c>
      <c r="D18" s="1"/>
      <c r="E18" s="86" t="s">
        <v>870</v>
      </c>
      <c r="F18" s="1"/>
      <c r="G18" s="96" t="s">
        <v>247</v>
      </c>
      <c r="H18" s="86"/>
      <c r="I18" s="86"/>
      <c r="J18" s="86"/>
      <c r="K18" s="86"/>
      <c r="L18" s="86"/>
      <c r="M18" s="86"/>
    </row>
    <row r="19" spans="1:13" x14ac:dyDescent="0.35">
      <c r="A19" s="101" t="s">
        <v>850</v>
      </c>
      <c r="B19" s="101" t="s">
        <v>912</v>
      </c>
      <c r="C19" s="1" t="s">
        <v>569</v>
      </c>
      <c r="D19" s="1"/>
      <c r="E19" s="86" t="s">
        <v>870</v>
      </c>
      <c r="F19" s="1"/>
      <c r="G19" s="96" t="s">
        <v>247</v>
      </c>
      <c r="H19" s="86"/>
      <c r="I19" s="86"/>
      <c r="J19" s="86"/>
      <c r="K19" s="86"/>
      <c r="L19" s="86"/>
      <c r="M19" s="86"/>
    </row>
    <row r="20" spans="1:13" x14ac:dyDescent="0.35">
      <c r="A20" s="101" t="s">
        <v>850</v>
      </c>
      <c r="B20" s="101" t="s">
        <v>912</v>
      </c>
      <c r="C20" s="1" t="s">
        <v>577</v>
      </c>
      <c r="D20" s="1"/>
      <c r="E20" s="86" t="s">
        <v>870</v>
      </c>
      <c r="F20" s="1"/>
      <c r="G20" s="96" t="s">
        <v>247</v>
      </c>
      <c r="H20" s="86"/>
      <c r="I20" s="86"/>
      <c r="J20" s="86"/>
      <c r="K20" s="86"/>
      <c r="L20" s="86"/>
      <c r="M20" s="86"/>
    </row>
    <row r="21" spans="1:13" x14ac:dyDescent="0.35">
      <c r="A21" s="101" t="s">
        <v>850</v>
      </c>
      <c r="B21" s="101" t="s">
        <v>912</v>
      </c>
      <c r="C21" s="1" t="s">
        <v>965</v>
      </c>
      <c r="D21" s="1"/>
      <c r="E21" s="86" t="s">
        <v>870</v>
      </c>
      <c r="F21" s="1"/>
      <c r="G21" s="96" t="s">
        <v>247</v>
      </c>
      <c r="H21" s="86"/>
      <c r="I21" s="86"/>
      <c r="J21" s="86"/>
      <c r="K21" s="86"/>
      <c r="L21" s="86"/>
      <c r="M21" s="86"/>
    </row>
    <row r="22" spans="1:13" x14ac:dyDescent="0.35">
      <c r="A22" s="101" t="s">
        <v>850</v>
      </c>
      <c r="B22" s="101" t="s">
        <v>912</v>
      </c>
      <c r="C22" s="1" t="s">
        <v>147</v>
      </c>
      <c r="D22" s="1"/>
      <c r="E22" s="86" t="s">
        <v>870</v>
      </c>
      <c r="F22" s="1"/>
      <c r="G22" s="96" t="s">
        <v>872</v>
      </c>
      <c r="H22" s="86"/>
      <c r="I22" s="86"/>
      <c r="J22" s="86"/>
      <c r="K22" s="86"/>
      <c r="L22" s="86"/>
      <c r="M22" s="86"/>
    </row>
    <row r="23" spans="1:13" x14ac:dyDescent="0.35">
      <c r="A23" s="1" t="s">
        <v>897</v>
      </c>
      <c r="B23" s="94" t="s">
        <v>882</v>
      </c>
      <c r="C23" s="1"/>
      <c r="D23" s="1"/>
      <c r="E23" s="86" t="s">
        <v>883</v>
      </c>
      <c r="F23" s="1"/>
      <c r="G23" s="96"/>
      <c r="H23" s="86"/>
      <c r="I23" s="86"/>
      <c r="J23" s="86"/>
      <c r="K23" s="86"/>
      <c r="L23" s="86"/>
      <c r="M23" s="86"/>
    </row>
    <row r="24" spans="1:13" x14ac:dyDescent="0.35">
      <c r="A24" s="1" t="s">
        <v>897</v>
      </c>
      <c r="B24" s="94" t="s">
        <v>905</v>
      </c>
      <c r="C24" s="1"/>
      <c r="D24" s="1"/>
      <c r="E24" s="86" t="s">
        <v>884</v>
      </c>
      <c r="F24" s="1"/>
      <c r="G24" s="96"/>
      <c r="H24" s="86"/>
      <c r="I24" s="86"/>
      <c r="J24" s="86"/>
      <c r="K24" s="86"/>
      <c r="L24" s="86"/>
      <c r="M24" s="86"/>
    </row>
    <row r="25" spans="1:13" x14ac:dyDescent="0.35">
      <c r="A25" s="1" t="s">
        <v>897</v>
      </c>
      <c r="B25" s="94" t="s">
        <v>886</v>
      </c>
      <c r="C25" s="1"/>
      <c r="D25" s="1"/>
      <c r="E25" s="86" t="s">
        <v>874</v>
      </c>
      <c r="F25" s="1"/>
      <c r="G25" s="96"/>
      <c r="H25" s="86"/>
      <c r="I25" s="86"/>
      <c r="J25" s="86"/>
      <c r="K25" s="86"/>
      <c r="L25" s="86"/>
      <c r="M25" s="86"/>
    </row>
    <row r="26" spans="1:13" x14ac:dyDescent="0.35">
      <c r="A26" s="1" t="s">
        <v>897</v>
      </c>
      <c r="B26" s="94" t="s">
        <v>887</v>
      </c>
      <c r="C26" s="1"/>
      <c r="D26" s="1"/>
      <c r="E26" s="86" t="s">
        <v>874</v>
      </c>
      <c r="F26" s="1"/>
      <c r="G26" s="96"/>
      <c r="H26" s="86"/>
      <c r="I26" s="86"/>
      <c r="J26" s="86"/>
      <c r="K26" s="86"/>
      <c r="L26" s="86"/>
      <c r="M26" s="86"/>
    </row>
    <row r="27" spans="1:13" x14ac:dyDescent="0.35">
      <c r="A27" s="1" t="s">
        <v>897</v>
      </c>
      <c r="B27" s="94" t="s">
        <v>888</v>
      </c>
      <c r="C27" s="1"/>
      <c r="D27" s="1"/>
      <c r="E27" s="86" t="s">
        <v>870</v>
      </c>
      <c r="F27" s="1"/>
      <c r="G27" s="96"/>
      <c r="H27" s="86"/>
      <c r="I27" s="86"/>
      <c r="J27" s="86"/>
      <c r="K27" s="86"/>
      <c r="L27" s="86"/>
      <c r="M27" s="86"/>
    </row>
    <row r="28" spans="1:13" x14ac:dyDescent="0.35">
      <c r="A28" s="1" t="s">
        <v>897</v>
      </c>
      <c r="B28" s="94" t="s">
        <v>889</v>
      </c>
      <c r="C28" s="1"/>
      <c r="D28" s="1"/>
      <c r="E28" s="86" t="s">
        <v>890</v>
      </c>
      <c r="F28" s="1"/>
      <c r="G28" s="96"/>
      <c r="H28" s="86"/>
      <c r="I28" s="86"/>
      <c r="J28" s="86"/>
      <c r="K28" s="86"/>
      <c r="L28" s="86"/>
      <c r="M28" s="86"/>
    </row>
    <row r="29" spans="1:13" x14ac:dyDescent="0.35">
      <c r="A29" s="1" t="s">
        <v>897</v>
      </c>
      <c r="B29" s="94" t="s">
        <v>894</v>
      </c>
      <c r="C29" s="1"/>
      <c r="D29" s="1"/>
      <c r="E29" s="86" t="s">
        <v>896</v>
      </c>
      <c r="F29" s="1"/>
      <c r="G29" s="103"/>
      <c r="H29" s="1"/>
      <c r="I29" s="1"/>
      <c r="J29" s="1"/>
      <c r="K29" s="1"/>
      <c r="L29" s="1"/>
      <c r="M29" s="1"/>
    </row>
    <row r="30" spans="1:13" x14ac:dyDescent="0.35">
      <c r="A30" s="1" t="s">
        <v>897</v>
      </c>
      <c r="B30" s="94" t="s">
        <v>895</v>
      </c>
      <c r="C30" s="1"/>
      <c r="D30" s="1"/>
      <c r="E30" s="86" t="s">
        <v>896</v>
      </c>
      <c r="F30" s="1"/>
      <c r="G30" s="104"/>
      <c r="H30" s="97"/>
      <c r="I30" s="97"/>
      <c r="J30" s="97"/>
      <c r="K30" s="97"/>
      <c r="L30" s="97"/>
      <c r="M30" s="1"/>
    </row>
    <row r="31" spans="1:13" x14ac:dyDescent="0.35">
      <c r="A31" s="1" t="s">
        <v>897</v>
      </c>
      <c r="B31" s="94" t="s">
        <v>893</v>
      </c>
      <c r="C31" s="1"/>
      <c r="D31" s="1"/>
      <c r="E31" s="86" t="s">
        <v>869</v>
      </c>
      <c r="F31" s="1"/>
      <c r="G31" s="103"/>
      <c r="H31" s="1"/>
      <c r="I31" s="1"/>
      <c r="J31" s="1"/>
      <c r="K31" s="1"/>
      <c r="L31" s="1"/>
      <c r="M31" s="1"/>
    </row>
    <row r="32" spans="1:13" x14ac:dyDescent="0.35">
      <c r="A32" s="1" t="s">
        <v>898</v>
      </c>
      <c r="B32" s="94" t="s">
        <v>899</v>
      </c>
      <c r="C32" s="1"/>
      <c r="D32" s="1"/>
      <c r="E32" s="86" t="s">
        <v>869</v>
      </c>
      <c r="F32" s="1"/>
      <c r="G32" s="103"/>
      <c r="H32" s="1"/>
      <c r="I32" s="1"/>
      <c r="J32" s="1"/>
      <c r="K32" s="1"/>
      <c r="L32" s="1"/>
      <c r="M32" s="1"/>
    </row>
    <row r="33" spans="1:13" x14ac:dyDescent="0.35">
      <c r="A33" s="1" t="s">
        <v>898</v>
      </c>
      <c r="B33" s="94" t="s">
        <v>900</v>
      </c>
      <c r="C33" s="1"/>
      <c r="D33" s="1"/>
      <c r="E33" s="86" t="s">
        <v>869</v>
      </c>
      <c r="F33" s="1"/>
      <c r="G33" s="103"/>
      <c r="H33" s="1"/>
      <c r="I33" s="1"/>
      <c r="J33" s="1"/>
      <c r="K33" s="1"/>
      <c r="L33" s="1"/>
      <c r="M33" s="1"/>
    </row>
    <row r="34" spans="1:13" x14ac:dyDescent="0.35">
      <c r="A34" s="1" t="s">
        <v>897</v>
      </c>
      <c r="B34" s="94" t="s">
        <v>902</v>
      </c>
      <c r="C34" s="1"/>
      <c r="D34" s="1"/>
      <c r="E34" s="86" t="s">
        <v>906</v>
      </c>
      <c r="F34" s="1"/>
      <c r="G34" s="103"/>
      <c r="H34" s="1"/>
      <c r="I34" s="1"/>
      <c r="J34" s="1"/>
      <c r="K34" s="1"/>
      <c r="L34" s="1"/>
      <c r="M34" s="1"/>
    </row>
    <row r="35" spans="1:13" x14ac:dyDescent="0.35">
      <c r="A35" s="1" t="s">
        <v>897</v>
      </c>
      <c r="B35" s="94" t="s">
        <v>903</v>
      </c>
      <c r="C35" s="1"/>
      <c r="D35" s="1"/>
      <c r="E35" s="86" t="s">
        <v>907</v>
      </c>
      <c r="F35" s="1"/>
      <c r="G35" s="103"/>
      <c r="H35" s="1"/>
      <c r="I35" s="1"/>
      <c r="J35" s="1"/>
      <c r="K35" s="1"/>
      <c r="L35" s="1"/>
      <c r="M35" s="1"/>
    </row>
    <row r="36" spans="1:13" x14ac:dyDescent="0.35">
      <c r="A36" s="1" t="s">
        <v>897</v>
      </c>
      <c r="B36" s="94" t="s">
        <v>904</v>
      </c>
      <c r="C36" s="1"/>
      <c r="D36" s="1"/>
      <c r="E36" s="86" t="s">
        <v>896</v>
      </c>
      <c r="F36" s="1"/>
      <c r="G36" s="103"/>
      <c r="H36" s="1"/>
      <c r="I36" s="1"/>
      <c r="J36" s="1"/>
      <c r="K36" s="1"/>
      <c r="L36" s="1"/>
      <c r="M36" s="1"/>
    </row>
    <row r="37" spans="1:13" x14ac:dyDescent="0.35">
      <c r="A37" s="1" t="s">
        <v>898</v>
      </c>
      <c r="B37" s="94" t="s">
        <v>931</v>
      </c>
      <c r="C37" s="1"/>
      <c r="D37" s="1"/>
      <c r="E37" s="86" t="s">
        <v>869</v>
      </c>
      <c r="F37" s="1"/>
      <c r="G37" s="103"/>
      <c r="H37" s="1"/>
      <c r="I37" s="1"/>
      <c r="J37" s="1"/>
      <c r="K37" s="1"/>
      <c r="L37" s="1"/>
      <c r="M37" s="1"/>
    </row>
    <row r="38" spans="1:13" x14ac:dyDescent="0.35">
      <c r="A38" s="1" t="s">
        <v>898</v>
      </c>
      <c r="B38" s="94" t="s">
        <v>908</v>
      </c>
      <c r="C38" s="1"/>
      <c r="D38" s="1"/>
      <c r="E38" s="86" t="s">
        <v>909</v>
      </c>
      <c r="F38" s="1"/>
      <c r="G38" s="103"/>
      <c r="H38" s="1"/>
      <c r="I38" s="1"/>
      <c r="J38" s="1"/>
      <c r="K38" s="1"/>
      <c r="L38" s="1"/>
      <c r="M38" s="1"/>
    </row>
    <row r="39" spans="1:13" x14ac:dyDescent="0.35">
      <c r="A39" s="1" t="s">
        <v>898</v>
      </c>
      <c r="B39" s="94" t="s">
        <v>911</v>
      </c>
      <c r="C39" s="1"/>
      <c r="D39" s="1"/>
      <c r="E39" s="86" t="s">
        <v>910</v>
      </c>
      <c r="F39" s="1"/>
      <c r="G39" s="103"/>
      <c r="H39" s="1"/>
      <c r="I39" s="1"/>
      <c r="J39" s="1"/>
      <c r="K39" s="1"/>
      <c r="L39" s="1"/>
      <c r="M39" s="1"/>
    </row>
    <row r="40" spans="1:13" x14ac:dyDescent="0.35">
      <c r="A40" s="1" t="s">
        <v>898</v>
      </c>
      <c r="B40" s="94" t="s">
        <v>928</v>
      </c>
      <c r="C40" s="1"/>
      <c r="D40" s="1"/>
      <c r="E40" s="86" t="s">
        <v>869</v>
      </c>
      <c r="F40" s="1"/>
      <c r="G40" s="103"/>
      <c r="H40" s="1"/>
      <c r="I40" s="1"/>
      <c r="J40" s="1"/>
      <c r="K40" s="1"/>
      <c r="L40" s="1"/>
      <c r="M40" s="1"/>
    </row>
    <row r="41" spans="1:13" x14ac:dyDescent="0.35">
      <c r="A41" s="1" t="s">
        <v>919</v>
      </c>
      <c r="B41" s="94" t="s">
        <v>917</v>
      </c>
      <c r="C41" s="1"/>
      <c r="D41" s="1"/>
      <c r="E41" s="86" t="s">
        <v>869</v>
      </c>
      <c r="F41" s="1"/>
      <c r="G41" s="103"/>
      <c r="H41" s="1"/>
      <c r="I41" s="1"/>
      <c r="J41" s="1"/>
      <c r="K41" s="1"/>
      <c r="L41" s="1"/>
      <c r="M41" s="1"/>
    </row>
    <row r="42" spans="1:13" x14ac:dyDescent="0.35">
      <c r="A42" s="1" t="s">
        <v>916</v>
      </c>
      <c r="B42" s="94" t="s">
        <v>918</v>
      </c>
      <c r="C42" s="1"/>
      <c r="D42" s="1"/>
      <c r="E42" s="86" t="s">
        <v>869</v>
      </c>
      <c r="F42" s="1"/>
      <c r="G42" s="103"/>
      <c r="H42" s="1"/>
      <c r="I42" s="1"/>
      <c r="J42" s="1"/>
      <c r="K42" s="1"/>
      <c r="L42" s="1"/>
      <c r="M42" s="1"/>
    </row>
    <row r="43" spans="1:13" x14ac:dyDescent="0.35">
      <c r="A43" s="1" t="s">
        <v>916</v>
      </c>
      <c r="B43" s="94" t="s">
        <v>920</v>
      </c>
      <c r="C43" s="1"/>
      <c r="D43" s="1"/>
      <c r="E43" s="86" t="s">
        <v>869</v>
      </c>
      <c r="F43" s="1"/>
      <c r="G43" s="103"/>
      <c r="H43" s="1"/>
      <c r="I43" s="1"/>
      <c r="J43" s="1"/>
      <c r="K43" s="1"/>
      <c r="L43" s="1"/>
      <c r="M43" s="1"/>
    </row>
    <row r="44" spans="1:13" x14ac:dyDescent="0.35">
      <c r="A44" s="1" t="s">
        <v>916</v>
      </c>
      <c r="B44" s="94" t="s">
        <v>921</v>
      </c>
      <c r="C44" s="1"/>
      <c r="D44" s="1"/>
      <c r="E44" s="86" t="s">
        <v>869</v>
      </c>
      <c r="F44" s="1"/>
      <c r="G44" s="103"/>
      <c r="H44" s="1"/>
      <c r="I44" s="1"/>
      <c r="J44" s="1"/>
      <c r="K44" s="1"/>
      <c r="L44" s="1"/>
      <c r="M44" s="1"/>
    </row>
    <row r="45" spans="1:13" x14ac:dyDescent="0.35">
      <c r="A45" s="1" t="s">
        <v>933</v>
      </c>
      <c r="B45" s="94" t="s">
        <v>932</v>
      </c>
      <c r="C45" s="1"/>
      <c r="D45" s="1"/>
      <c r="E45" s="86" t="s">
        <v>869</v>
      </c>
      <c r="F45" s="1"/>
      <c r="G45" s="1" t="s">
        <v>247</v>
      </c>
      <c r="H45" s="1"/>
      <c r="I45" s="1"/>
      <c r="J45" s="1"/>
      <c r="K45" s="1"/>
      <c r="L45" s="1"/>
      <c r="M45" s="1"/>
    </row>
    <row r="46" spans="1:13" x14ac:dyDescent="0.35">
      <c r="A46" s="1" t="s">
        <v>933</v>
      </c>
      <c r="B46" s="94" t="s">
        <v>966</v>
      </c>
      <c r="C46" s="1"/>
      <c r="D46" s="1"/>
      <c r="E46" s="86" t="s">
        <v>869</v>
      </c>
      <c r="F46" s="1"/>
      <c r="G46" s="1" t="s">
        <v>247</v>
      </c>
      <c r="H46" s="1"/>
      <c r="I46" s="1"/>
      <c r="J46" s="1"/>
      <c r="K46" s="1"/>
      <c r="L46" s="1"/>
      <c r="M46" s="1"/>
    </row>
    <row r="47" spans="1:13" x14ac:dyDescent="0.35">
      <c r="A47" s="1" t="s">
        <v>933</v>
      </c>
      <c r="B47" s="94" t="s">
        <v>934</v>
      </c>
      <c r="C47" s="1"/>
      <c r="D47" s="1"/>
      <c r="E47" s="86" t="s">
        <v>869</v>
      </c>
      <c r="F47" s="1"/>
      <c r="G47" s="1" t="s">
        <v>247</v>
      </c>
      <c r="H47" s="1"/>
      <c r="I47" s="1"/>
      <c r="J47" s="1"/>
      <c r="K47" s="1"/>
      <c r="L47" s="1"/>
      <c r="M47" s="1"/>
    </row>
  </sheetData>
  <autoFilter ref="A2:E40" xr:uid="{838E1E76-7A0E-4CD4-BDAF-0455D966089D}"/>
  <mergeCells count="3">
    <mergeCell ref="K1:L1"/>
    <mergeCell ref="H1:J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AA8EB-0CAD-4176-B240-3CEA21F33D18}">
  <dimension ref="A3:E49"/>
  <sheetViews>
    <sheetView zoomScale="130" zoomScaleNormal="130" workbookViewId="0">
      <selection activeCell="C53" sqref="C53"/>
    </sheetView>
  </sheetViews>
  <sheetFormatPr defaultRowHeight="14.5" x14ac:dyDescent="0.35"/>
  <cols>
    <col min="1" max="1" width="30.81640625" customWidth="1"/>
    <col min="2" max="2" width="42.26953125" customWidth="1"/>
    <col min="3" max="3" width="34.54296875" customWidth="1"/>
    <col min="4" max="4" width="7.54296875" bestFit="1" customWidth="1"/>
    <col min="5" max="5" width="12.81640625" bestFit="1" customWidth="1"/>
    <col min="6" max="6" width="15.7265625" bestFit="1" customWidth="1"/>
    <col min="7" max="7" width="13.81640625" bestFit="1" customWidth="1"/>
    <col min="8" max="8" width="7.81640625" bestFit="1" customWidth="1"/>
    <col min="9" max="9" width="4.81640625" bestFit="1" customWidth="1"/>
    <col min="10" max="10" width="6.81640625" bestFit="1" customWidth="1"/>
    <col min="11" max="12" width="4.1796875" bestFit="1" customWidth="1"/>
    <col min="13" max="13" width="6.81640625" bestFit="1" customWidth="1"/>
    <col min="14" max="14" width="7.81640625" bestFit="1" customWidth="1"/>
    <col min="15" max="15" width="3.81640625" bestFit="1" customWidth="1"/>
    <col min="16" max="16" width="6.81640625" bestFit="1" customWidth="1"/>
    <col min="17" max="18" width="10.453125" bestFit="1" customWidth="1"/>
    <col min="19" max="19" width="4.1796875" bestFit="1" customWidth="1"/>
    <col min="20" max="20" width="6.26953125" bestFit="1" customWidth="1"/>
    <col min="21" max="21" width="4.81640625" bestFit="1" customWidth="1"/>
    <col min="22" max="22" width="4.1796875" bestFit="1" customWidth="1"/>
    <col min="23" max="23" width="3.81640625" bestFit="1" customWidth="1"/>
    <col min="24" max="24" width="6.81640625" bestFit="1" customWidth="1"/>
    <col min="25" max="25" width="17.54296875" bestFit="1" customWidth="1"/>
    <col min="26" max="26" width="15.54296875" bestFit="1" customWidth="1"/>
    <col min="27" max="27" width="6.81640625" bestFit="1" customWidth="1"/>
    <col min="28" max="28" width="7.81640625" bestFit="1" customWidth="1"/>
    <col min="29" max="29" width="6.81640625" bestFit="1" customWidth="1"/>
    <col min="30" max="30" width="18.453125" bestFit="1" customWidth="1"/>
    <col min="31" max="31" width="10.453125" bestFit="1" customWidth="1"/>
    <col min="32" max="32" width="11.26953125" bestFit="1" customWidth="1"/>
    <col min="33" max="33" width="13.81640625" bestFit="1" customWidth="1"/>
    <col min="34" max="34" width="12.453125" bestFit="1" customWidth="1"/>
    <col min="35" max="35" width="13" bestFit="1" customWidth="1"/>
    <col min="36" max="36" width="8.453125" bestFit="1" customWidth="1"/>
    <col min="37" max="37" width="13" bestFit="1" customWidth="1"/>
    <col min="38" max="38" width="11.453125" bestFit="1" customWidth="1"/>
    <col min="39" max="39" width="13.81640625" bestFit="1" customWidth="1"/>
    <col min="40" max="40" width="11.26953125" bestFit="1" customWidth="1"/>
    <col min="41" max="41" width="10.453125" bestFit="1" customWidth="1"/>
  </cols>
  <sheetData>
    <row r="3" spans="1:5" x14ac:dyDescent="0.35">
      <c r="A3" s="105" t="s">
        <v>913</v>
      </c>
      <c r="B3" s="105" t="s">
        <v>236</v>
      </c>
      <c r="C3" s="105" t="s">
        <v>914</v>
      </c>
      <c r="D3" s="105" t="s">
        <v>547</v>
      </c>
      <c r="E3" t="s">
        <v>938</v>
      </c>
    </row>
    <row r="4" spans="1:5" x14ac:dyDescent="0.35">
      <c r="A4" t="s">
        <v>850</v>
      </c>
      <c r="B4" s="2" t="s">
        <v>881</v>
      </c>
      <c r="C4" t="s">
        <v>866</v>
      </c>
      <c r="D4" t="s">
        <v>869</v>
      </c>
      <c r="E4">
        <v>1</v>
      </c>
    </row>
    <row r="5" spans="1:5" x14ac:dyDescent="0.35">
      <c r="B5" s="2" t="s">
        <v>851</v>
      </c>
      <c r="C5" t="s">
        <v>860</v>
      </c>
      <c r="D5" t="s">
        <v>869</v>
      </c>
      <c r="E5">
        <v>1</v>
      </c>
    </row>
    <row r="6" spans="1:5" x14ac:dyDescent="0.35">
      <c r="B6" s="2"/>
      <c r="C6" t="s">
        <v>859</v>
      </c>
      <c r="D6" t="s">
        <v>869</v>
      </c>
      <c r="E6">
        <v>1</v>
      </c>
    </row>
    <row r="7" spans="1:5" x14ac:dyDescent="0.35">
      <c r="B7" s="2" t="s">
        <v>912</v>
      </c>
      <c r="C7" t="s">
        <v>577</v>
      </c>
      <c r="D7" t="s">
        <v>870</v>
      </c>
      <c r="E7">
        <v>1</v>
      </c>
    </row>
    <row r="8" spans="1:5" x14ac:dyDescent="0.35">
      <c r="B8" s="2"/>
      <c r="C8" t="s">
        <v>571</v>
      </c>
      <c r="D8" t="s">
        <v>870</v>
      </c>
      <c r="E8">
        <v>1</v>
      </c>
    </row>
    <row r="9" spans="1:5" x14ac:dyDescent="0.35">
      <c r="B9" s="2"/>
      <c r="C9" t="s">
        <v>147</v>
      </c>
      <c r="D9" t="s">
        <v>870</v>
      </c>
      <c r="E9">
        <v>1</v>
      </c>
    </row>
    <row r="10" spans="1:5" x14ac:dyDescent="0.35">
      <c r="B10" s="2"/>
      <c r="C10" t="s">
        <v>575</v>
      </c>
      <c r="D10" t="s">
        <v>870</v>
      </c>
      <c r="E10">
        <v>1</v>
      </c>
    </row>
    <row r="11" spans="1:5" x14ac:dyDescent="0.35">
      <c r="B11" s="2"/>
      <c r="C11" t="s">
        <v>569</v>
      </c>
      <c r="D11" t="s">
        <v>870</v>
      </c>
      <c r="E11">
        <v>1</v>
      </c>
    </row>
    <row r="12" spans="1:5" x14ac:dyDescent="0.35">
      <c r="B12" s="2" t="s">
        <v>877</v>
      </c>
      <c r="C12" t="s">
        <v>878</v>
      </c>
      <c r="D12" t="s">
        <v>869</v>
      </c>
      <c r="E12">
        <v>1</v>
      </c>
    </row>
    <row r="13" spans="1:5" x14ac:dyDescent="0.35">
      <c r="B13" s="2"/>
      <c r="C13" t="s">
        <v>885</v>
      </c>
      <c r="D13" t="s">
        <v>870</v>
      </c>
      <c r="E13">
        <v>1</v>
      </c>
    </row>
    <row r="14" spans="1:5" x14ac:dyDescent="0.35">
      <c r="B14" s="2"/>
      <c r="C14" t="s">
        <v>879</v>
      </c>
      <c r="D14" t="s">
        <v>880</v>
      </c>
      <c r="E14">
        <v>1</v>
      </c>
    </row>
    <row r="15" spans="1:5" x14ac:dyDescent="0.35">
      <c r="B15" s="2" t="s">
        <v>856</v>
      </c>
      <c r="C15" t="s">
        <v>2</v>
      </c>
      <c r="D15" t="s">
        <v>875</v>
      </c>
      <c r="E15">
        <v>1</v>
      </c>
    </row>
    <row r="16" spans="1:5" x14ac:dyDescent="0.35">
      <c r="B16" s="2"/>
      <c r="C16" t="s">
        <v>807</v>
      </c>
      <c r="D16" t="s">
        <v>869</v>
      </c>
      <c r="E16">
        <v>1</v>
      </c>
    </row>
    <row r="17" spans="1:5" x14ac:dyDescent="0.35">
      <c r="B17" s="2"/>
      <c r="C17" t="s">
        <v>858</v>
      </c>
      <c r="D17" t="s">
        <v>869</v>
      </c>
      <c r="E17">
        <v>1</v>
      </c>
    </row>
    <row r="18" spans="1:5" x14ac:dyDescent="0.35">
      <c r="B18" s="2"/>
      <c r="C18" t="s">
        <v>857</v>
      </c>
      <c r="D18" t="s">
        <v>869</v>
      </c>
      <c r="E18">
        <v>1</v>
      </c>
    </row>
    <row r="19" spans="1:5" x14ac:dyDescent="0.35">
      <c r="B19" s="2" t="s">
        <v>852</v>
      </c>
      <c r="C19" t="s">
        <v>935</v>
      </c>
      <c r="D19" t="s">
        <v>869</v>
      </c>
      <c r="E19">
        <v>1</v>
      </c>
    </row>
    <row r="20" spans="1:5" x14ac:dyDescent="0.35">
      <c r="B20" s="2" t="s">
        <v>937</v>
      </c>
      <c r="C20" t="s">
        <v>936</v>
      </c>
      <c r="D20" t="s">
        <v>868</v>
      </c>
      <c r="E20">
        <v>1</v>
      </c>
    </row>
    <row r="21" spans="1:5" x14ac:dyDescent="0.35">
      <c r="A21" t="s">
        <v>923</v>
      </c>
      <c r="E21">
        <v>17</v>
      </c>
    </row>
    <row r="22" spans="1:5" x14ac:dyDescent="0.35">
      <c r="A22" t="s">
        <v>916</v>
      </c>
      <c r="B22" s="2" t="s">
        <v>920</v>
      </c>
      <c r="C22" t="s">
        <v>922</v>
      </c>
      <c r="D22" t="s">
        <v>869</v>
      </c>
      <c r="E22">
        <v>1</v>
      </c>
    </row>
    <row r="23" spans="1:5" x14ac:dyDescent="0.35">
      <c r="B23" s="2" t="s">
        <v>918</v>
      </c>
      <c r="C23" t="s">
        <v>922</v>
      </c>
      <c r="D23" t="s">
        <v>869</v>
      </c>
      <c r="E23">
        <v>1</v>
      </c>
    </row>
    <row r="24" spans="1:5" x14ac:dyDescent="0.35">
      <c r="B24" s="2" t="s">
        <v>921</v>
      </c>
      <c r="C24" t="s">
        <v>922</v>
      </c>
      <c r="D24" t="s">
        <v>869</v>
      </c>
      <c r="E24">
        <v>1</v>
      </c>
    </row>
    <row r="25" spans="1:5" x14ac:dyDescent="0.35">
      <c r="A25" t="s">
        <v>924</v>
      </c>
      <c r="E25">
        <v>3</v>
      </c>
    </row>
    <row r="26" spans="1:5" x14ac:dyDescent="0.35">
      <c r="A26" t="s">
        <v>919</v>
      </c>
      <c r="B26" s="2" t="s">
        <v>917</v>
      </c>
      <c r="C26" t="s">
        <v>922</v>
      </c>
      <c r="D26" t="s">
        <v>869</v>
      </c>
      <c r="E26">
        <v>1</v>
      </c>
    </row>
    <row r="27" spans="1:5" x14ac:dyDescent="0.35">
      <c r="A27" t="s">
        <v>925</v>
      </c>
      <c r="E27">
        <v>1</v>
      </c>
    </row>
    <row r="28" spans="1:5" x14ac:dyDescent="0.35">
      <c r="A28" t="s">
        <v>897</v>
      </c>
      <c r="B28" s="2" t="s">
        <v>894</v>
      </c>
      <c r="C28" t="s">
        <v>922</v>
      </c>
      <c r="D28" t="s">
        <v>896</v>
      </c>
      <c r="E28">
        <v>1</v>
      </c>
    </row>
    <row r="29" spans="1:5" x14ac:dyDescent="0.35">
      <c r="B29" s="2" t="s">
        <v>895</v>
      </c>
      <c r="C29" t="s">
        <v>922</v>
      </c>
      <c r="D29" t="s">
        <v>896</v>
      </c>
      <c r="E29">
        <v>1</v>
      </c>
    </row>
    <row r="30" spans="1:5" x14ac:dyDescent="0.35">
      <c r="B30" s="2" t="s">
        <v>904</v>
      </c>
      <c r="C30" t="s">
        <v>922</v>
      </c>
      <c r="D30" t="s">
        <v>896</v>
      </c>
      <c r="E30">
        <v>1</v>
      </c>
    </row>
    <row r="31" spans="1:5" x14ac:dyDescent="0.35">
      <c r="B31" s="2" t="s">
        <v>889</v>
      </c>
      <c r="C31" t="s">
        <v>922</v>
      </c>
      <c r="D31" t="s">
        <v>890</v>
      </c>
      <c r="E31">
        <v>1</v>
      </c>
    </row>
    <row r="32" spans="1:5" x14ac:dyDescent="0.35">
      <c r="B32" s="2" t="s">
        <v>887</v>
      </c>
      <c r="C32" t="s">
        <v>922</v>
      </c>
      <c r="D32" t="s">
        <v>874</v>
      </c>
      <c r="E32">
        <v>1</v>
      </c>
    </row>
    <row r="33" spans="1:5" x14ac:dyDescent="0.35">
      <c r="B33" s="2" t="s">
        <v>888</v>
      </c>
      <c r="C33" t="s">
        <v>922</v>
      </c>
      <c r="D33" t="s">
        <v>870</v>
      </c>
      <c r="E33">
        <v>1</v>
      </c>
    </row>
    <row r="34" spans="1:5" x14ac:dyDescent="0.35">
      <c r="B34" s="2" t="s">
        <v>905</v>
      </c>
      <c r="C34" t="s">
        <v>922</v>
      </c>
      <c r="D34" t="s">
        <v>884</v>
      </c>
      <c r="E34">
        <v>1</v>
      </c>
    </row>
    <row r="35" spans="1:5" x14ac:dyDescent="0.35">
      <c r="B35" s="2" t="s">
        <v>882</v>
      </c>
      <c r="C35" t="s">
        <v>922</v>
      </c>
      <c r="D35" t="s">
        <v>883</v>
      </c>
      <c r="E35">
        <v>1</v>
      </c>
    </row>
    <row r="36" spans="1:5" x14ac:dyDescent="0.35">
      <c r="B36" s="2" t="s">
        <v>886</v>
      </c>
      <c r="C36" t="s">
        <v>922</v>
      </c>
      <c r="D36" t="s">
        <v>874</v>
      </c>
      <c r="E36">
        <v>1</v>
      </c>
    </row>
    <row r="37" spans="1:5" x14ac:dyDescent="0.35">
      <c r="B37" s="2" t="s">
        <v>903</v>
      </c>
      <c r="C37" t="s">
        <v>922</v>
      </c>
      <c r="D37" t="s">
        <v>907</v>
      </c>
      <c r="E37">
        <v>1</v>
      </c>
    </row>
    <row r="38" spans="1:5" x14ac:dyDescent="0.35">
      <c r="B38" s="2" t="s">
        <v>902</v>
      </c>
      <c r="C38" t="s">
        <v>922</v>
      </c>
      <c r="D38" t="s">
        <v>906</v>
      </c>
      <c r="E38">
        <v>1</v>
      </c>
    </row>
    <row r="39" spans="1:5" x14ac:dyDescent="0.35">
      <c r="B39" s="2" t="s">
        <v>893</v>
      </c>
      <c r="C39" t="s">
        <v>922</v>
      </c>
      <c r="D39" t="s">
        <v>869</v>
      </c>
      <c r="E39">
        <v>1</v>
      </c>
    </row>
    <row r="40" spans="1:5" x14ac:dyDescent="0.35">
      <c r="B40" s="2" t="s">
        <v>929</v>
      </c>
      <c r="C40" t="s">
        <v>853</v>
      </c>
      <c r="D40" t="s">
        <v>874</v>
      </c>
      <c r="E40">
        <v>1</v>
      </c>
    </row>
    <row r="41" spans="1:5" x14ac:dyDescent="0.35">
      <c r="B41" s="2" t="s">
        <v>930</v>
      </c>
      <c r="C41" t="s">
        <v>854</v>
      </c>
      <c r="D41" t="s">
        <v>874</v>
      </c>
      <c r="E41">
        <v>1</v>
      </c>
    </row>
    <row r="42" spans="1:5" x14ac:dyDescent="0.35">
      <c r="A42" t="s">
        <v>926</v>
      </c>
      <c r="E42">
        <v>14</v>
      </c>
    </row>
    <row r="43" spans="1:5" x14ac:dyDescent="0.35">
      <c r="A43" t="s">
        <v>898</v>
      </c>
      <c r="B43" s="2" t="s">
        <v>900</v>
      </c>
      <c r="C43" t="s">
        <v>922</v>
      </c>
      <c r="D43" t="s">
        <v>869</v>
      </c>
      <c r="E43">
        <v>1</v>
      </c>
    </row>
    <row r="44" spans="1:5" x14ac:dyDescent="0.35">
      <c r="B44" s="2" t="s">
        <v>908</v>
      </c>
      <c r="C44" t="s">
        <v>922</v>
      </c>
      <c r="D44" t="s">
        <v>909</v>
      </c>
      <c r="E44">
        <v>1</v>
      </c>
    </row>
    <row r="45" spans="1:5" x14ac:dyDescent="0.35">
      <c r="B45" s="2" t="s">
        <v>899</v>
      </c>
      <c r="C45" t="s">
        <v>922</v>
      </c>
      <c r="D45" t="s">
        <v>869</v>
      </c>
      <c r="E45">
        <v>1</v>
      </c>
    </row>
    <row r="46" spans="1:5" x14ac:dyDescent="0.35">
      <c r="B46" s="2" t="s">
        <v>911</v>
      </c>
      <c r="C46" t="s">
        <v>922</v>
      </c>
      <c r="D46" t="s">
        <v>910</v>
      </c>
      <c r="E46">
        <v>1</v>
      </c>
    </row>
    <row r="47" spans="1:5" x14ac:dyDescent="0.35">
      <c r="B47" s="2" t="s">
        <v>928</v>
      </c>
      <c r="C47" t="s">
        <v>922</v>
      </c>
      <c r="D47" t="s">
        <v>869</v>
      </c>
      <c r="E47">
        <v>1</v>
      </c>
    </row>
    <row r="48" spans="1:5" x14ac:dyDescent="0.35">
      <c r="B48" s="2" t="s">
        <v>931</v>
      </c>
      <c r="C48" t="s">
        <v>922</v>
      </c>
      <c r="D48" t="s">
        <v>869</v>
      </c>
      <c r="E48">
        <v>1</v>
      </c>
    </row>
    <row r="49" spans="1:5" x14ac:dyDescent="0.35">
      <c r="A49" t="s">
        <v>927</v>
      </c>
      <c r="E49">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51D47-35E4-416E-9342-6D5C287B0138}">
  <dimension ref="A1:F74"/>
  <sheetViews>
    <sheetView workbookViewId="0">
      <selection activeCell="D83" sqref="D83"/>
    </sheetView>
  </sheetViews>
  <sheetFormatPr defaultRowHeight="14.5" x14ac:dyDescent="0.35"/>
  <cols>
    <col min="5" max="5" width="48.54296875" bestFit="1" customWidth="1"/>
  </cols>
  <sheetData>
    <row r="1" spans="1:6" x14ac:dyDescent="0.35">
      <c r="A1" s="70" t="s">
        <v>596</v>
      </c>
      <c r="B1" s="72"/>
      <c r="C1" s="72"/>
      <c r="D1" s="70" t="s">
        <v>597</v>
      </c>
      <c r="E1" s="71"/>
      <c r="F1" s="71"/>
    </row>
    <row r="2" spans="1:6" x14ac:dyDescent="0.35">
      <c r="A2" s="70" t="s">
        <v>596</v>
      </c>
      <c r="B2" s="72" t="s">
        <v>599</v>
      </c>
      <c r="C2" s="73">
        <v>3001</v>
      </c>
      <c r="D2" s="70" t="s">
        <v>598</v>
      </c>
      <c r="E2" s="74" t="s">
        <v>600</v>
      </c>
      <c r="F2" s="71" t="s">
        <v>601</v>
      </c>
    </row>
    <row r="3" spans="1:6" x14ac:dyDescent="0.35">
      <c r="A3" s="70" t="s">
        <v>596</v>
      </c>
      <c r="B3" s="72" t="s">
        <v>603</v>
      </c>
      <c r="C3" s="73">
        <v>3002</v>
      </c>
      <c r="D3" s="70" t="s">
        <v>602</v>
      </c>
      <c r="E3" s="74" t="s">
        <v>604</v>
      </c>
      <c r="F3" s="71" t="s">
        <v>601</v>
      </c>
    </row>
    <row r="4" spans="1:6" x14ac:dyDescent="0.35">
      <c r="A4" s="70" t="s">
        <v>596</v>
      </c>
      <c r="B4" s="72" t="s">
        <v>10</v>
      </c>
      <c r="C4" s="73">
        <v>3003</v>
      </c>
      <c r="D4" s="70" t="s">
        <v>171</v>
      </c>
      <c r="E4" s="74" t="s">
        <v>605</v>
      </c>
      <c r="F4" s="71" t="s">
        <v>606</v>
      </c>
    </row>
    <row r="5" spans="1:6" x14ac:dyDescent="0.35">
      <c r="A5" s="70" t="s">
        <v>596</v>
      </c>
      <c r="B5" s="72" t="s">
        <v>532</v>
      </c>
      <c r="C5" s="73">
        <v>3012</v>
      </c>
      <c r="D5" s="70" t="s">
        <v>607</v>
      </c>
      <c r="E5" s="74" t="s">
        <v>608</v>
      </c>
      <c r="F5" s="71" t="s">
        <v>606</v>
      </c>
    </row>
    <row r="6" spans="1:6" x14ac:dyDescent="0.35">
      <c r="A6" s="70" t="s">
        <v>596</v>
      </c>
      <c r="B6" s="72" t="s">
        <v>534</v>
      </c>
      <c r="C6" s="73">
        <v>3014</v>
      </c>
      <c r="D6" s="70" t="s">
        <v>609</v>
      </c>
      <c r="E6" s="74" t="s">
        <v>610</v>
      </c>
      <c r="F6" s="71" t="s">
        <v>606</v>
      </c>
    </row>
    <row r="7" spans="1:6" x14ac:dyDescent="0.35">
      <c r="A7" s="75" t="s">
        <v>596</v>
      </c>
      <c r="B7" s="72" t="s">
        <v>566</v>
      </c>
      <c r="C7" s="76">
        <v>3013</v>
      </c>
      <c r="D7" s="75" t="s">
        <v>611</v>
      </c>
      <c r="E7" s="77" t="s">
        <v>612</v>
      </c>
      <c r="F7" s="78"/>
    </row>
    <row r="8" spans="1:6" ht="17.5" x14ac:dyDescent="0.35">
      <c r="A8" s="70" t="s">
        <v>596</v>
      </c>
      <c r="B8" s="72" t="s">
        <v>614</v>
      </c>
      <c r="C8" s="73" t="s">
        <v>615</v>
      </c>
      <c r="D8" s="70" t="s">
        <v>613</v>
      </c>
      <c r="E8" s="74" t="s">
        <v>616</v>
      </c>
      <c r="F8" s="71" t="s">
        <v>617</v>
      </c>
    </row>
    <row r="9" spans="1:6" ht="17.5" x14ac:dyDescent="0.35">
      <c r="A9" s="70" t="s">
        <v>596</v>
      </c>
      <c r="B9" s="72" t="s">
        <v>619</v>
      </c>
      <c r="C9" s="73" t="s">
        <v>620</v>
      </c>
      <c r="D9" s="70" t="s">
        <v>618</v>
      </c>
      <c r="E9" s="74" t="s">
        <v>621</v>
      </c>
      <c r="F9" s="71" t="s">
        <v>617</v>
      </c>
    </row>
    <row r="10" spans="1:6" x14ac:dyDescent="0.35">
      <c r="A10" s="70" t="s">
        <v>596</v>
      </c>
      <c r="B10" s="72" t="s">
        <v>567</v>
      </c>
      <c r="C10" s="73">
        <v>3363</v>
      </c>
      <c r="D10" s="70" t="s">
        <v>622</v>
      </c>
      <c r="E10" s="79" t="s">
        <v>623</v>
      </c>
      <c r="F10" s="79" t="s">
        <v>624</v>
      </c>
    </row>
    <row r="11" spans="1:6" x14ac:dyDescent="0.35">
      <c r="A11" s="70" t="s">
        <v>596</v>
      </c>
      <c r="B11" s="72" t="s">
        <v>626</v>
      </c>
      <c r="C11" s="73">
        <v>3364</v>
      </c>
      <c r="D11" s="70" t="s">
        <v>625</v>
      </c>
      <c r="E11" s="79" t="s">
        <v>627</v>
      </c>
      <c r="F11" s="79" t="s">
        <v>624</v>
      </c>
    </row>
    <row r="12" spans="1:6" x14ac:dyDescent="0.35">
      <c r="A12" s="70" t="s">
        <v>596</v>
      </c>
      <c r="B12" s="72" t="s">
        <v>629</v>
      </c>
      <c r="C12" s="73">
        <v>3366</v>
      </c>
      <c r="D12" s="70" t="s">
        <v>628</v>
      </c>
      <c r="E12" s="71" t="s">
        <v>630</v>
      </c>
      <c r="F12" s="71" t="s">
        <v>631</v>
      </c>
    </row>
    <row r="13" spans="1:6" x14ac:dyDescent="0.35">
      <c r="A13" s="70" t="s">
        <v>596</v>
      </c>
      <c r="B13" s="72" t="s">
        <v>633</v>
      </c>
      <c r="C13" s="73">
        <v>3387</v>
      </c>
      <c r="D13" s="70" t="s">
        <v>632</v>
      </c>
      <c r="E13" s="71" t="s">
        <v>634</v>
      </c>
      <c r="F13" s="71" t="s">
        <v>624</v>
      </c>
    </row>
    <row r="14" spans="1:6" x14ac:dyDescent="0.35">
      <c r="A14" s="70" t="s">
        <v>596</v>
      </c>
      <c r="B14" s="72" t="s">
        <v>636</v>
      </c>
      <c r="C14" s="73">
        <v>3388</v>
      </c>
      <c r="D14" s="70" t="s">
        <v>635</v>
      </c>
      <c r="E14" s="71" t="s">
        <v>637</v>
      </c>
      <c r="F14" s="71" t="s">
        <v>624</v>
      </c>
    </row>
    <row r="15" spans="1:6" x14ac:dyDescent="0.35">
      <c r="A15" s="70" t="s">
        <v>596</v>
      </c>
      <c r="B15" s="72">
        <v>4001</v>
      </c>
      <c r="C15" s="73">
        <v>3371</v>
      </c>
      <c r="D15" s="70" t="s">
        <v>638</v>
      </c>
      <c r="E15" s="71" t="s">
        <v>639</v>
      </c>
      <c r="F15" s="71" t="s">
        <v>640</v>
      </c>
    </row>
    <row r="16" spans="1:6" x14ac:dyDescent="0.35">
      <c r="A16" s="70" t="s">
        <v>596</v>
      </c>
      <c r="B16" s="72" t="s">
        <v>88</v>
      </c>
      <c r="C16" s="73">
        <v>3372</v>
      </c>
      <c r="D16" s="70" t="s">
        <v>641</v>
      </c>
      <c r="E16" s="71" t="s">
        <v>642</v>
      </c>
      <c r="F16" s="71" t="s">
        <v>640</v>
      </c>
    </row>
    <row r="17" spans="1:6" x14ac:dyDescent="0.35">
      <c r="A17" s="70" t="s">
        <v>596</v>
      </c>
      <c r="B17" s="72" t="s">
        <v>90</v>
      </c>
      <c r="C17" s="73">
        <v>3373</v>
      </c>
      <c r="D17" s="70" t="s">
        <v>643</v>
      </c>
      <c r="E17" s="71" t="s">
        <v>644</v>
      </c>
      <c r="F17" s="71" t="s">
        <v>640</v>
      </c>
    </row>
    <row r="18" spans="1:6" x14ac:dyDescent="0.35">
      <c r="A18" s="70" t="s">
        <v>596</v>
      </c>
      <c r="B18" s="72">
        <v>5035</v>
      </c>
      <c r="C18" s="73">
        <v>3384</v>
      </c>
      <c r="D18" s="70" t="s">
        <v>544</v>
      </c>
      <c r="E18" s="71" t="s">
        <v>645</v>
      </c>
      <c r="F18" s="71" t="s">
        <v>640</v>
      </c>
    </row>
    <row r="19" spans="1:6" x14ac:dyDescent="0.35">
      <c r="A19" s="70" t="s">
        <v>596</v>
      </c>
      <c r="B19" s="72" t="s">
        <v>92</v>
      </c>
      <c r="C19" s="73">
        <v>3385</v>
      </c>
      <c r="D19" s="70" t="s">
        <v>646</v>
      </c>
      <c r="E19" s="71" t="s">
        <v>647</v>
      </c>
      <c r="F19" s="71" t="s">
        <v>640</v>
      </c>
    </row>
    <row r="20" spans="1:6" x14ac:dyDescent="0.35">
      <c r="A20" s="70" t="s">
        <v>596</v>
      </c>
      <c r="B20" s="72" t="s">
        <v>93</v>
      </c>
      <c r="C20" s="73">
        <v>3386</v>
      </c>
      <c r="D20" s="70" t="s">
        <v>648</v>
      </c>
      <c r="E20" s="71" t="s">
        <v>649</v>
      </c>
      <c r="F20" s="71" t="s">
        <v>640</v>
      </c>
    </row>
    <row r="21" spans="1:6" x14ac:dyDescent="0.35">
      <c r="A21" s="70" t="s">
        <v>596</v>
      </c>
      <c r="B21" s="72" t="s">
        <v>94</v>
      </c>
      <c r="C21" s="73">
        <v>3374</v>
      </c>
      <c r="D21" s="70" t="s">
        <v>650</v>
      </c>
      <c r="E21" s="71" t="s">
        <v>651</v>
      </c>
      <c r="F21" s="71" t="s">
        <v>640</v>
      </c>
    </row>
    <row r="22" spans="1:6" x14ac:dyDescent="0.35">
      <c r="A22" s="70" t="s">
        <v>596</v>
      </c>
      <c r="B22" s="72" t="s">
        <v>95</v>
      </c>
      <c r="C22" s="73">
        <v>3375</v>
      </c>
      <c r="D22" s="70" t="s">
        <v>652</v>
      </c>
      <c r="E22" s="71" t="s">
        <v>653</v>
      </c>
      <c r="F22" s="71" t="s">
        <v>640</v>
      </c>
    </row>
    <row r="23" spans="1:6" x14ac:dyDescent="0.35">
      <c r="A23" s="70" t="s">
        <v>596</v>
      </c>
      <c r="B23" s="72" t="s">
        <v>97</v>
      </c>
      <c r="C23" s="73">
        <v>3376</v>
      </c>
      <c r="D23" s="70" t="s">
        <v>654</v>
      </c>
      <c r="E23" s="71" t="s">
        <v>655</v>
      </c>
      <c r="F23" s="71" t="s">
        <v>640</v>
      </c>
    </row>
    <row r="24" spans="1:6" x14ac:dyDescent="0.35">
      <c r="A24" s="70" t="s">
        <v>596</v>
      </c>
      <c r="B24" s="72" t="s">
        <v>99</v>
      </c>
      <c r="C24" s="73">
        <v>3377</v>
      </c>
      <c r="D24" s="70" t="s">
        <v>656</v>
      </c>
      <c r="E24" s="71" t="s">
        <v>657</v>
      </c>
      <c r="F24" s="71" t="s">
        <v>640</v>
      </c>
    </row>
    <row r="25" spans="1:6" x14ac:dyDescent="0.35">
      <c r="A25" s="70" t="s">
        <v>596</v>
      </c>
      <c r="B25" s="72" t="s">
        <v>101</v>
      </c>
      <c r="C25" s="73">
        <v>3378</v>
      </c>
      <c r="D25" s="70" t="s">
        <v>658</v>
      </c>
      <c r="E25" s="71" t="s">
        <v>659</v>
      </c>
      <c r="F25" s="71" t="s">
        <v>640</v>
      </c>
    </row>
    <row r="26" spans="1:6" x14ac:dyDescent="0.35">
      <c r="A26" s="70" t="s">
        <v>596</v>
      </c>
      <c r="B26" s="72" t="s">
        <v>103</v>
      </c>
      <c r="C26" s="73">
        <v>3379</v>
      </c>
      <c r="D26" s="70" t="s">
        <v>660</v>
      </c>
      <c r="E26" s="71" t="s">
        <v>661</v>
      </c>
      <c r="F26" s="71" t="s">
        <v>640</v>
      </c>
    </row>
    <row r="27" spans="1:6" x14ac:dyDescent="0.35">
      <c r="A27" s="70" t="s">
        <v>596</v>
      </c>
      <c r="B27" s="72" t="s">
        <v>105</v>
      </c>
      <c r="C27" s="73">
        <v>3380</v>
      </c>
      <c r="D27" s="70" t="s">
        <v>662</v>
      </c>
      <c r="E27" s="71" t="s">
        <v>663</v>
      </c>
      <c r="F27" s="71" t="s">
        <v>640</v>
      </c>
    </row>
    <row r="28" spans="1:6" x14ac:dyDescent="0.35">
      <c r="A28" s="70" t="s">
        <v>596</v>
      </c>
      <c r="B28" s="72" t="s">
        <v>107</v>
      </c>
      <c r="C28" s="73">
        <v>3381</v>
      </c>
      <c r="D28" s="70" t="s">
        <v>664</v>
      </c>
      <c r="E28" s="71" t="s">
        <v>665</v>
      </c>
      <c r="F28" s="71" t="s">
        <v>640</v>
      </c>
    </row>
    <row r="29" spans="1:6" x14ac:dyDescent="0.35">
      <c r="A29" s="70" t="s">
        <v>596</v>
      </c>
      <c r="B29" s="72" t="s">
        <v>109</v>
      </c>
      <c r="C29" s="73">
        <v>3382</v>
      </c>
      <c r="D29" s="70" t="s">
        <v>666</v>
      </c>
      <c r="E29" s="71" t="s">
        <v>667</v>
      </c>
      <c r="F29" s="71" t="s">
        <v>640</v>
      </c>
    </row>
    <row r="30" spans="1:6" x14ac:dyDescent="0.35">
      <c r="A30" s="70" t="s">
        <v>596</v>
      </c>
      <c r="B30" s="72">
        <v>5663</v>
      </c>
      <c r="C30" s="73">
        <v>3368</v>
      </c>
      <c r="D30" s="70" t="s">
        <v>668</v>
      </c>
      <c r="E30" s="71" t="s">
        <v>669</v>
      </c>
      <c r="F30" s="72" t="s">
        <v>640</v>
      </c>
    </row>
    <row r="31" spans="1:6" x14ac:dyDescent="0.35">
      <c r="A31" s="70" t="s">
        <v>596</v>
      </c>
      <c r="B31" s="72"/>
      <c r="C31" s="72"/>
      <c r="D31" s="70" t="s">
        <v>670</v>
      </c>
      <c r="E31" s="71"/>
      <c r="F31" s="71"/>
    </row>
    <row r="32" spans="1:6" x14ac:dyDescent="0.35">
      <c r="A32" s="70" t="s">
        <v>596</v>
      </c>
      <c r="B32" s="72"/>
      <c r="C32" s="72"/>
      <c r="D32" s="70" t="s">
        <v>671</v>
      </c>
      <c r="E32" s="71"/>
      <c r="F32" s="71"/>
    </row>
    <row r="33" spans="1:6" x14ac:dyDescent="0.35">
      <c r="A33" s="70" t="s">
        <v>596</v>
      </c>
      <c r="B33" s="72"/>
      <c r="C33" s="72"/>
      <c r="D33" s="70" t="s">
        <v>672</v>
      </c>
      <c r="E33" s="71"/>
      <c r="F33" s="71"/>
    </row>
    <row r="34" spans="1:6" x14ac:dyDescent="0.35">
      <c r="A34" s="70" t="s">
        <v>596</v>
      </c>
      <c r="B34" s="72"/>
      <c r="C34" s="72"/>
      <c r="D34" s="70" t="s">
        <v>673</v>
      </c>
      <c r="E34" s="71"/>
      <c r="F34" s="71"/>
    </row>
    <row r="35" spans="1:6" x14ac:dyDescent="0.35">
      <c r="A35" s="70" t="s">
        <v>596</v>
      </c>
      <c r="B35" s="72"/>
      <c r="C35" s="72"/>
      <c r="D35" s="70" t="s">
        <v>674</v>
      </c>
      <c r="E35" s="71"/>
      <c r="F35" s="71"/>
    </row>
    <row r="36" spans="1:6" x14ac:dyDescent="0.35">
      <c r="A36" s="70" t="s">
        <v>596</v>
      </c>
      <c r="B36" s="72"/>
      <c r="C36" s="72"/>
      <c r="D36" s="70" t="s">
        <v>675</v>
      </c>
      <c r="E36" s="71"/>
      <c r="F36" s="71"/>
    </row>
    <row r="37" spans="1:6" x14ac:dyDescent="0.35">
      <c r="A37" s="80" t="s">
        <v>676</v>
      </c>
      <c r="B37" s="72">
        <v>0</v>
      </c>
      <c r="C37" s="72"/>
      <c r="D37" s="70">
        <v>37</v>
      </c>
      <c r="E37" s="71" t="s">
        <v>677</v>
      </c>
      <c r="F37" s="71"/>
    </row>
    <row r="38" spans="1:6" x14ac:dyDescent="0.35">
      <c r="A38" s="70" t="s">
        <v>678</v>
      </c>
      <c r="B38" s="72">
        <v>0</v>
      </c>
      <c r="C38" s="72"/>
      <c r="D38" s="70" t="s">
        <v>679</v>
      </c>
      <c r="E38" s="71"/>
      <c r="F38" s="71"/>
    </row>
    <row r="39" spans="1:6" x14ac:dyDescent="0.35">
      <c r="A39" s="70" t="s">
        <v>678</v>
      </c>
      <c r="B39" s="72" t="s">
        <v>681</v>
      </c>
      <c r="C39" s="72" t="s">
        <v>681</v>
      </c>
      <c r="D39" s="70" t="s">
        <v>680</v>
      </c>
      <c r="E39" s="71" t="s">
        <v>682</v>
      </c>
      <c r="F39" s="71">
        <v>5.0999999999999996</v>
      </c>
    </row>
    <row r="40" spans="1:6" x14ac:dyDescent="0.35">
      <c r="A40" s="70" t="s">
        <v>678</v>
      </c>
      <c r="B40" s="72">
        <v>5791</v>
      </c>
      <c r="C40" s="72">
        <v>5791</v>
      </c>
      <c r="D40" s="70" t="s">
        <v>683</v>
      </c>
      <c r="E40" s="71" t="s">
        <v>684</v>
      </c>
      <c r="F40" s="71">
        <v>4.0999999999999996</v>
      </c>
    </row>
    <row r="41" spans="1:6" x14ac:dyDescent="0.35">
      <c r="A41" s="70" t="s">
        <v>678</v>
      </c>
      <c r="B41" s="72" t="s">
        <v>686</v>
      </c>
      <c r="C41" s="72" t="s">
        <v>686</v>
      </c>
      <c r="D41" s="70" t="s">
        <v>685</v>
      </c>
      <c r="E41" s="71" t="s">
        <v>687</v>
      </c>
      <c r="F41" s="71">
        <v>4.0999999999999996</v>
      </c>
    </row>
    <row r="42" spans="1:6" x14ac:dyDescent="0.35">
      <c r="A42" s="70" t="s">
        <v>678</v>
      </c>
      <c r="B42" s="72" t="s">
        <v>689</v>
      </c>
      <c r="C42" s="72" t="s">
        <v>689</v>
      </c>
      <c r="D42" s="70" t="s">
        <v>688</v>
      </c>
      <c r="E42" s="71" t="s">
        <v>690</v>
      </c>
      <c r="F42" s="71">
        <v>4.2</v>
      </c>
    </row>
    <row r="43" spans="1:6" x14ac:dyDescent="0.35">
      <c r="A43" s="70" t="s">
        <v>678</v>
      </c>
      <c r="B43" s="72">
        <v>5032</v>
      </c>
      <c r="C43" s="72">
        <v>5032</v>
      </c>
      <c r="D43" s="70" t="s">
        <v>691</v>
      </c>
      <c r="E43" s="71" t="s">
        <v>692</v>
      </c>
      <c r="F43" s="71">
        <v>4.2</v>
      </c>
    </row>
    <row r="44" spans="1:6" x14ac:dyDescent="0.35">
      <c r="A44" s="70" t="s">
        <v>678</v>
      </c>
      <c r="B44" s="72">
        <v>5067</v>
      </c>
      <c r="C44" s="72">
        <v>5067</v>
      </c>
      <c r="D44" s="70" t="s">
        <v>693</v>
      </c>
      <c r="E44" s="71" t="s">
        <v>694</v>
      </c>
      <c r="F44" s="71">
        <v>4.2</v>
      </c>
    </row>
    <row r="45" spans="1:6" x14ac:dyDescent="0.35">
      <c r="A45" s="70" t="s">
        <v>678</v>
      </c>
      <c r="B45" s="72">
        <v>5017</v>
      </c>
      <c r="C45" s="72">
        <v>5017</v>
      </c>
      <c r="D45" s="70" t="s">
        <v>695</v>
      </c>
      <c r="E45" s="71" t="s">
        <v>696</v>
      </c>
      <c r="F45" s="71">
        <v>4.2</v>
      </c>
    </row>
    <row r="46" spans="1:6" x14ac:dyDescent="0.35">
      <c r="A46" s="70" t="s">
        <v>678</v>
      </c>
      <c r="B46" s="72">
        <v>5034</v>
      </c>
      <c r="C46" s="72">
        <v>5034</v>
      </c>
      <c r="D46" s="70" t="s">
        <v>697</v>
      </c>
      <c r="E46" s="71" t="s">
        <v>698</v>
      </c>
      <c r="F46" s="71">
        <v>4.2</v>
      </c>
    </row>
    <row r="47" spans="1:6" x14ac:dyDescent="0.35">
      <c r="A47" s="70" t="s">
        <v>678</v>
      </c>
      <c r="B47" s="72">
        <v>5490</v>
      </c>
      <c r="C47" s="72">
        <v>5490</v>
      </c>
      <c r="D47" s="70" t="s">
        <v>699</v>
      </c>
      <c r="E47" s="71" t="s">
        <v>700</v>
      </c>
      <c r="F47" s="71">
        <v>4.2</v>
      </c>
    </row>
    <row r="48" spans="1:6" x14ac:dyDescent="0.35">
      <c r="A48" s="70" t="s">
        <v>678</v>
      </c>
      <c r="B48" s="72">
        <v>7018</v>
      </c>
      <c r="C48" s="72">
        <v>7018</v>
      </c>
      <c r="D48" s="70" t="s">
        <v>701</v>
      </c>
      <c r="E48" s="71" t="s">
        <v>702</v>
      </c>
      <c r="F48" s="71">
        <v>4.2</v>
      </c>
    </row>
    <row r="49" spans="1:6" x14ac:dyDescent="0.35">
      <c r="A49" s="70" t="s">
        <v>678</v>
      </c>
      <c r="B49" s="72" t="s">
        <v>704</v>
      </c>
      <c r="C49" s="72" t="s">
        <v>704</v>
      </c>
      <c r="D49" s="70" t="s">
        <v>703</v>
      </c>
      <c r="E49" s="71" t="s">
        <v>705</v>
      </c>
      <c r="F49" s="71">
        <v>4.2</v>
      </c>
    </row>
    <row r="50" spans="1:6" x14ac:dyDescent="0.35">
      <c r="A50" s="70" t="s">
        <v>678</v>
      </c>
      <c r="B50" s="72" t="s">
        <v>707</v>
      </c>
      <c r="C50" s="72" t="s">
        <v>707</v>
      </c>
      <c r="D50" s="70" t="s">
        <v>706</v>
      </c>
      <c r="E50" s="71" t="s">
        <v>708</v>
      </c>
      <c r="F50" s="71">
        <v>4.2</v>
      </c>
    </row>
    <row r="51" spans="1:6" x14ac:dyDescent="0.35">
      <c r="A51" s="70" t="s">
        <v>678</v>
      </c>
      <c r="B51" s="72" t="s">
        <v>710</v>
      </c>
      <c r="C51" s="72" t="s">
        <v>710</v>
      </c>
      <c r="D51" s="70" t="s">
        <v>709</v>
      </c>
      <c r="E51" s="71" t="s">
        <v>711</v>
      </c>
      <c r="F51" s="71">
        <v>4.2</v>
      </c>
    </row>
    <row r="52" spans="1:6" x14ac:dyDescent="0.35">
      <c r="A52" s="70" t="s">
        <v>678</v>
      </c>
      <c r="B52" s="72" t="s">
        <v>713</v>
      </c>
      <c r="C52" s="72" t="s">
        <v>713</v>
      </c>
      <c r="D52" s="70" t="s">
        <v>712</v>
      </c>
      <c r="E52" s="71" t="s">
        <v>714</v>
      </c>
      <c r="F52" s="71">
        <v>4.2</v>
      </c>
    </row>
    <row r="53" spans="1:6" x14ac:dyDescent="0.35">
      <c r="A53" s="70" t="s">
        <v>678</v>
      </c>
      <c r="B53" s="72" t="s">
        <v>716</v>
      </c>
      <c r="C53" s="72" t="s">
        <v>716</v>
      </c>
      <c r="D53" s="70" t="s">
        <v>715</v>
      </c>
      <c r="E53" s="71" t="s">
        <v>717</v>
      </c>
      <c r="F53" s="71">
        <v>4.2</v>
      </c>
    </row>
    <row r="54" spans="1:6" x14ac:dyDescent="0.35">
      <c r="A54" s="70" t="s">
        <v>678</v>
      </c>
      <c r="B54" s="72" t="s">
        <v>719</v>
      </c>
      <c r="C54" s="72" t="s">
        <v>719</v>
      </c>
      <c r="D54" s="70" t="s">
        <v>718</v>
      </c>
      <c r="E54" s="71" t="s">
        <v>720</v>
      </c>
      <c r="F54" s="71">
        <v>4.2</v>
      </c>
    </row>
    <row r="55" spans="1:6" x14ac:dyDescent="0.35">
      <c r="A55" s="70" t="s">
        <v>678</v>
      </c>
      <c r="B55" s="72" t="s">
        <v>722</v>
      </c>
      <c r="C55" s="72" t="s">
        <v>722</v>
      </c>
      <c r="D55" s="70" t="s">
        <v>721</v>
      </c>
      <c r="E55" s="71" t="s">
        <v>723</v>
      </c>
      <c r="F55" s="71">
        <v>4.2</v>
      </c>
    </row>
    <row r="56" spans="1:6" x14ac:dyDescent="0.35">
      <c r="A56" s="70" t="s">
        <v>678</v>
      </c>
      <c r="B56" s="72" t="s">
        <v>725</v>
      </c>
      <c r="C56" s="72" t="s">
        <v>725</v>
      </c>
      <c r="D56" s="70" t="s">
        <v>724</v>
      </c>
      <c r="E56" s="71" t="s">
        <v>726</v>
      </c>
      <c r="F56" s="71">
        <v>4.2</v>
      </c>
    </row>
    <row r="57" spans="1:6" x14ac:dyDescent="0.35">
      <c r="A57" s="70" t="s">
        <v>678</v>
      </c>
      <c r="B57" s="72" t="s">
        <v>728</v>
      </c>
      <c r="C57" s="72" t="s">
        <v>728</v>
      </c>
      <c r="D57" s="70" t="s">
        <v>727</v>
      </c>
      <c r="E57" s="71" t="s">
        <v>729</v>
      </c>
      <c r="F57" s="71">
        <v>4.2</v>
      </c>
    </row>
    <row r="58" spans="1:6" x14ac:dyDescent="0.35">
      <c r="A58" s="70" t="s">
        <v>730</v>
      </c>
      <c r="B58" s="72" t="s">
        <v>731</v>
      </c>
      <c r="C58" s="72" t="s">
        <v>731</v>
      </c>
      <c r="D58" s="70" t="s">
        <v>730</v>
      </c>
      <c r="E58" s="71" t="s">
        <v>732</v>
      </c>
      <c r="F58" s="71">
        <v>4.2</v>
      </c>
    </row>
    <row r="59" spans="1:6" x14ac:dyDescent="0.35">
      <c r="A59" s="70" t="s">
        <v>678</v>
      </c>
      <c r="B59" s="72" t="s">
        <v>734</v>
      </c>
      <c r="C59" s="72" t="s">
        <v>734</v>
      </c>
      <c r="D59" s="70" t="s">
        <v>733</v>
      </c>
      <c r="E59" s="71" t="s">
        <v>735</v>
      </c>
      <c r="F59" s="71">
        <v>4.2</v>
      </c>
    </row>
    <row r="60" spans="1:6" x14ac:dyDescent="0.35">
      <c r="A60" s="70" t="s">
        <v>678</v>
      </c>
      <c r="B60" s="72" t="s">
        <v>737</v>
      </c>
      <c r="C60" s="72" t="s">
        <v>737</v>
      </c>
      <c r="D60" s="70" t="s">
        <v>736</v>
      </c>
      <c r="E60" s="71" t="s">
        <v>738</v>
      </c>
      <c r="F60" s="71">
        <v>4.2</v>
      </c>
    </row>
    <row r="61" spans="1:6" x14ac:dyDescent="0.35">
      <c r="A61" s="70" t="s">
        <v>678</v>
      </c>
      <c r="B61" s="72" t="s">
        <v>740</v>
      </c>
      <c r="C61" s="72" t="s">
        <v>740</v>
      </c>
      <c r="D61" s="70" t="s">
        <v>739</v>
      </c>
      <c r="E61" s="71" t="s">
        <v>741</v>
      </c>
      <c r="F61" s="71">
        <v>4.2</v>
      </c>
    </row>
    <row r="62" spans="1:6" x14ac:dyDescent="0.35">
      <c r="A62" s="70" t="s">
        <v>678</v>
      </c>
      <c r="B62" s="72" t="s">
        <v>743</v>
      </c>
      <c r="C62" s="72" t="s">
        <v>743</v>
      </c>
      <c r="D62" s="70" t="s">
        <v>742</v>
      </c>
      <c r="E62" s="71" t="s">
        <v>744</v>
      </c>
      <c r="F62" s="71">
        <v>4.2</v>
      </c>
    </row>
    <row r="63" spans="1:6" x14ac:dyDescent="0.35">
      <c r="A63" s="70" t="s">
        <v>678</v>
      </c>
      <c r="B63" s="72">
        <v>7040</v>
      </c>
      <c r="C63" s="72">
        <v>7040</v>
      </c>
      <c r="D63" s="70" t="s">
        <v>745</v>
      </c>
      <c r="E63" s="71" t="s">
        <v>746</v>
      </c>
      <c r="F63" s="71">
        <v>4.2</v>
      </c>
    </row>
    <row r="64" spans="1:6" x14ac:dyDescent="0.35">
      <c r="A64" s="70" t="s">
        <v>678</v>
      </c>
      <c r="B64" s="72" t="s">
        <v>748</v>
      </c>
      <c r="C64" s="72" t="s">
        <v>748</v>
      </c>
      <c r="D64" s="70" t="s">
        <v>747</v>
      </c>
      <c r="E64" s="71" t="s">
        <v>749</v>
      </c>
      <c r="F64" s="71">
        <v>5.0999999999999996</v>
      </c>
    </row>
    <row r="65" spans="1:6" x14ac:dyDescent="0.35">
      <c r="A65" s="70" t="s">
        <v>678</v>
      </c>
      <c r="B65" s="72">
        <v>4490</v>
      </c>
      <c r="C65" s="72">
        <v>4490</v>
      </c>
      <c r="D65" s="70" t="s">
        <v>750</v>
      </c>
      <c r="E65" s="71" t="s">
        <v>751</v>
      </c>
      <c r="F65" s="71">
        <v>5.2</v>
      </c>
    </row>
    <row r="66" spans="1:6" x14ac:dyDescent="0.35">
      <c r="A66" s="70" t="s">
        <v>678</v>
      </c>
      <c r="B66" s="72" t="s">
        <v>753</v>
      </c>
      <c r="C66" s="72" t="s">
        <v>753</v>
      </c>
      <c r="D66" s="70" t="s">
        <v>752</v>
      </c>
      <c r="E66" s="71" t="s">
        <v>754</v>
      </c>
      <c r="F66" s="71">
        <v>5.2</v>
      </c>
    </row>
    <row r="67" spans="1:6" x14ac:dyDescent="0.35">
      <c r="A67" s="70" t="s">
        <v>678</v>
      </c>
      <c r="B67" s="72" t="s">
        <v>756</v>
      </c>
      <c r="C67" s="72" t="s">
        <v>756</v>
      </c>
      <c r="D67" s="70" t="s">
        <v>755</v>
      </c>
      <c r="E67" s="71" t="s">
        <v>757</v>
      </c>
      <c r="F67" s="71">
        <v>5.2</v>
      </c>
    </row>
    <row r="68" spans="1:6" x14ac:dyDescent="0.35">
      <c r="A68" s="70" t="s">
        <v>678</v>
      </c>
      <c r="B68" s="72">
        <v>5638</v>
      </c>
      <c r="C68" s="72">
        <v>5638</v>
      </c>
      <c r="D68" s="70" t="s">
        <v>758</v>
      </c>
      <c r="E68" s="71" t="s">
        <v>759</v>
      </c>
      <c r="F68" s="71">
        <v>5.2</v>
      </c>
    </row>
    <row r="69" spans="1:6" x14ac:dyDescent="0.35">
      <c r="A69" s="70" t="s">
        <v>678</v>
      </c>
      <c r="B69" s="72" t="s">
        <v>761</v>
      </c>
      <c r="C69" s="72" t="s">
        <v>761</v>
      </c>
      <c r="D69" s="70" t="s">
        <v>760</v>
      </c>
      <c r="E69" s="71" t="s">
        <v>762</v>
      </c>
      <c r="F69" s="71">
        <v>5.2</v>
      </c>
    </row>
    <row r="70" spans="1:6" x14ac:dyDescent="0.35">
      <c r="A70" s="70" t="s">
        <v>678</v>
      </c>
      <c r="B70" s="72" t="s">
        <v>764</v>
      </c>
      <c r="C70" s="72" t="s">
        <v>764</v>
      </c>
      <c r="D70" s="70" t="s">
        <v>763</v>
      </c>
      <c r="E70" s="71" t="s">
        <v>765</v>
      </c>
      <c r="F70" s="71">
        <v>5.2</v>
      </c>
    </row>
    <row r="71" spans="1:6" x14ac:dyDescent="0.35">
      <c r="A71" s="70" t="s">
        <v>678</v>
      </c>
      <c r="B71" s="72" t="s">
        <v>767</v>
      </c>
      <c r="C71" s="72" t="s">
        <v>767</v>
      </c>
      <c r="D71" s="70" t="s">
        <v>766</v>
      </c>
      <c r="E71" s="71" t="s">
        <v>768</v>
      </c>
      <c r="F71" s="71" t="s">
        <v>769</v>
      </c>
    </row>
    <row r="72" spans="1:6" x14ac:dyDescent="0.35">
      <c r="A72" s="70" t="s">
        <v>678</v>
      </c>
      <c r="B72" s="72">
        <v>7998</v>
      </c>
      <c r="C72" s="72">
        <v>7998</v>
      </c>
      <c r="D72" s="70" t="s">
        <v>770</v>
      </c>
      <c r="E72" s="71" t="s">
        <v>771</v>
      </c>
      <c r="F72" s="71" t="s">
        <v>772</v>
      </c>
    </row>
    <row r="73" spans="1:6" x14ac:dyDescent="0.35">
      <c r="A73" s="70" t="s">
        <v>678</v>
      </c>
      <c r="B73" s="72">
        <v>5280</v>
      </c>
      <c r="C73" s="73">
        <v>3006</v>
      </c>
      <c r="D73" s="70" t="s">
        <v>773</v>
      </c>
      <c r="E73" s="71" t="s">
        <v>774</v>
      </c>
      <c r="F73" s="71" t="s">
        <v>772</v>
      </c>
    </row>
    <row r="74" spans="1:6" x14ac:dyDescent="0.35">
      <c r="A74" s="70" t="s">
        <v>678</v>
      </c>
      <c r="B74" s="72">
        <v>5280</v>
      </c>
      <c r="C74" s="73">
        <v>3005</v>
      </c>
      <c r="D74" s="70" t="s">
        <v>773</v>
      </c>
      <c r="E74" s="71" t="s">
        <v>775</v>
      </c>
      <c r="F74" s="71" t="s">
        <v>776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96CC0-3EB9-45DE-89F2-FAB92A77E80B}">
  <dimension ref="A1:C25"/>
  <sheetViews>
    <sheetView zoomScale="150" zoomScaleNormal="150" workbookViewId="0">
      <selection activeCell="A26" sqref="A26"/>
    </sheetView>
  </sheetViews>
  <sheetFormatPr defaultRowHeight="14.5" x14ac:dyDescent="0.35"/>
  <cols>
    <col min="1" max="1" width="31.7265625" bestFit="1" customWidth="1"/>
    <col min="2" max="2" width="76.453125" bestFit="1" customWidth="1"/>
    <col min="3" max="3" width="26" customWidth="1"/>
  </cols>
  <sheetData>
    <row r="1" spans="1:3" x14ac:dyDescent="0.35">
      <c r="A1" s="3" t="s">
        <v>236</v>
      </c>
      <c r="B1" s="3" t="s">
        <v>119</v>
      </c>
      <c r="C1" s="3" t="s">
        <v>365</v>
      </c>
    </row>
    <row r="2" spans="1:3" x14ac:dyDescent="0.35">
      <c r="A2" s="1" t="s">
        <v>367</v>
      </c>
      <c r="B2" s="1" t="s">
        <v>368</v>
      </c>
      <c r="C2" s="1" t="s">
        <v>366</v>
      </c>
    </row>
    <row r="3" spans="1:3" x14ac:dyDescent="0.35">
      <c r="A3" s="1"/>
      <c r="B3" s="1" t="s">
        <v>369</v>
      </c>
      <c r="C3" s="1"/>
    </row>
    <row r="4" spans="1:3" x14ac:dyDescent="0.35">
      <c r="A4" s="1"/>
      <c r="B4" s="1" t="s">
        <v>370</v>
      </c>
      <c r="C4" s="1"/>
    </row>
    <row r="5" spans="1:3" x14ac:dyDescent="0.35">
      <c r="A5" s="1" t="s">
        <v>371</v>
      </c>
      <c r="B5" s="1" t="s">
        <v>372</v>
      </c>
      <c r="C5" s="1"/>
    </row>
    <row r="6" spans="1:3" x14ac:dyDescent="0.35">
      <c r="A6" s="1" t="s">
        <v>371</v>
      </c>
      <c r="B6" s="1" t="s">
        <v>374</v>
      </c>
      <c r="C6" s="1" t="s">
        <v>373</v>
      </c>
    </row>
    <row r="7" spans="1:3" x14ac:dyDescent="0.35">
      <c r="A7" s="1"/>
      <c r="B7" s="1" t="s">
        <v>375</v>
      </c>
      <c r="C7" s="1"/>
    </row>
    <row r="8" spans="1:3" x14ac:dyDescent="0.35">
      <c r="A8" s="1"/>
      <c r="B8" s="1" t="s">
        <v>376</v>
      </c>
      <c r="C8" s="1" t="s">
        <v>407</v>
      </c>
    </row>
    <row r="9" spans="1:3" x14ac:dyDescent="0.35">
      <c r="A9" s="1" t="s">
        <v>377</v>
      </c>
      <c r="B9" s="1" t="s">
        <v>378</v>
      </c>
      <c r="C9" s="1"/>
    </row>
    <row r="10" spans="1:3" x14ac:dyDescent="0.35">
      <c r="A10" s="1" t="s">
        <v>379</v>
      </c>
      <c r="B10" s="1" t="s">
        <v>380</v>
      </c>
      <c r="C10" s="1"/>
    </row>
    <row r="11" spans="1:3" x14ac:dyDescent="0.35">
      <c r="A11" s="1"/>
      <c r="B11" s="1" t="s">
        <v>381</v>
      </c>
      <c r="C11" s="1"/>
    </row>
    <row r="12" spans="1:3" x14ac:dyDescent="0.35">
      <c r="A12" s="1"/>
      <c r="B12" s="1" t="s">
        <v>382</v>
      </c>
      <c r="C12" s="1"/>
    </row>
    <row r="13" spans="1:3" x14ac:dyDescent="0.35">
      <c r="A13" s="1" t="s">
        <v>383</v>
      </c>
      <c r="B13" s="1" t="s">
        <v>384</v>
      </c>
      <c r="C13" s="1"/>
    </row>
    <row r="14" spans="1:3" x14ac:dyDescent="0.35">
      <c r="A14" s="1" t="s">
        <v>386</v>
      </c>
      <c r="B14" s="1" t="s">
        <v>387</v>
      </c>
      <c r="C14" s="1" t="s">
        <v>385</v>
      </c>
    </row>
    <row r="15" spans="1:3" x14ac:dyDescent="0.35">
      <c r="A15" s="1" t="s">
        <v>388</v>
      </c>
      <c r="B15" s="1" t="s">
        <v>389</v>
      </c>
      <c r="C15" s="1"/>
    </row>
    <row r="16" spans="1:3" x14ac:dyDescent="0.35">
      <c r="A16" s="1"/>
      <c r="B16" s="1" t="s">
        <v>390</v>
      </c>
      <c r="C16" s="1"/>
    </row>
    <row r="17" spans="1:3" x14ac:dyDescent="0.35">
      <c r="A17" s="1" t="s">
        <v>392</v>
      </c>
      <c r="B17" s="1" t="s">
        <v>393</v>
      </c>
      <c r="C17" s="1" t="s">
        <v>391</v>
      </c>
    </row>
    <row r="18" spans="1:3" x14ac:dyDescent="0.35">
      <c r="A18" s="1"/>
      <c r="B18" s="1" t="s">
        <v>394</v>
      </c>
      <c r="C18" s="1"/>
    </row>
    <row r="19" spans="1:3" x14ac:dyDescent="0.35">
      <c r="A19" s="1" t="s">
        <v>396</v>
      </c>
      <c r="B19" s="1" t="s">
        <v>397</v>
      </c>
      <c r="C19" s="1" t="s">
        <v>395</v>
      </c>
    </row>
    <row r="20" spans="1:3" x14ac:dyDescent="0.35">
      <c r="A20" s="1"/>
      <c r="B20" s="1" t="s">
        <v>398</v>
      </c>
      <c r="C20" s="1"/>
    </row>
    <row r="21" spans="1:3" x14ac:dyDescent="0.35">
      <c r="A21" s="1" t="s">
        <v>400</v>
      </c>
      <c r="B21" s="1" t="s">
        <v>401</v>
      </c>
      <c r="C21" s="1" t="s">
        <v>399</v>
      </c>
    </row>
    <row r="22" spans="1:3" x14ac:dyDescent="0.35">
      <c r="A22" s="1"/>
      <c r="B22" s="1" t="s">
        <v>402</v>
      </c>
      <c r="C22" s="1"/>
    </row>
    <row r="23" spans="1:3" x14ac:dyDescent="0.35">
      <c r="A23" s="1" t="s">
        <v>403</v>
      </c>
      <c r="B23" s="1" t="s">
        <v>404</v>
      </c>
      <c r="C23" s="1"/>
    </row>
    <row r="24" spans="1:3" x14ac:dyDescent="0.35">
      <c r="A24" s="1"/>
      <c r="B24" s="1" t="s">
        <v>405</v>
      </c>
      <c r="C24" s="1"/>
    </row>
    <row r="25" spans="1:3" x14ac:dyDescent="0.35">
      <c r="A25" s="1"/>
      <c r="B25" s="1" t="s">
        <v>406</v>
      </c>
      <c r="C25"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3B3D8-8D24-46E8-8C48-3142B527C892}">
  <dimension ref="A1:G37"/>
  <sheetViews>
    <sheetView workbookViewId="0">
      <selection activeCell="C19" sqref="C19"/>
    </sheetView>
  </sheetViews>
  <sheetFormatPr defaultRowHeight="14.5" x14ac:dyDescent="0.35"/>
  <cols>
    <col min="1" max="1" width="21.7265625" bestFit="1" customWidth="1"/>
    <col min="2" max="2" width="16.26953125" bestFit="1" customWidth="1"/>
    <col min="3" max="3" width="34.1796875" bestFit="1" customWidth="1"/>
    <col min="4" max="4" width="16.54296875" bestFit="1" customWidth="1"/>
    <col min="5" max="5" width="14.7265625" bestFit="1" customWidth="1"/>
    <col min="6" max="6" width="14.1796875" bestFit="1" customWidth="1"/>
    <col min="7" max="7" width="20.26953125" bestFit="1" customWidth="1"/>
  </cols>
  <sheetData>
    <row r="1" spans="1:7" ht="21" x14ac:dyDescent="0.5">
      <c r="A1" s="24" t="s">
        <v>172</v>
      </c>
      <c r="B1" s="24" t="s">
        <v>173</v>
      </c>
      <c r="C1" s="24" t="s">
        <v>175</v>
      </c>
      <c r="D1" s="24" t="s">
        <v>174</v>
      </c>
      <c r="E1" s="24" t="s">
        <v>176</v>
      </c>
      <c r="F1" s="24" t="s">
        <v>177</v>
      </c>
      <c r="G1" s="24" t="s">
        <v>178</v>
      </c>
    </row>
    <row r="2" spans="1:7" ht="21" x14ac:dyDescent="0.5">
      <c r="A2" s="13" t="s">
        <v>179</v>
      </c>
      <c r="B2" s="13"/>
      <c r="C2" s="13"/>
      <c r="D2" s="13"/>
      <c r="E2" s="13"/>
      <c r="F2" s="13"/>
      <c r="G2" s="13"/>
    </row>
    <row r="3" spans="1:7" ht="21" x14ac:dyDescent="0.5">
      <c r="A3" s="13" t="s">
        <v>180</v>
      </c>
      <c r="B3" s="13"/>
      <c r="C3" s="13"/>
      <c r="D3" s="13"/>
      <c r="E3" s="13"/>
      <c r="F3" s="13"/>
      <c r="G3" s="13"/>
    </row>
    <row r="4" spans="1:7" ht="21" x14ac:dyDescent="0.5">
      <c r="A4" s="13" t="s">
        <v>181</v>
      </c>
      <c r="B4" s="13"/>
      <c r="C4" s="13"/>
      <c r="D4" s="13"/>
      <c r="E4" s="13"/>
      <c r="F4" s="13"/>
      <c r="G4" s="13"/>
    </row>
    <row r="5" spans="1:7" ht="21" x14ac:dyDescent="0.5">
      <c r="A5" s="13" t="s">
        <v>182</v>
      </c>
      <c r="B5" s="13"/>
      <c r="C5" s="13"/>
      <c r="D5" s="13"/>
      <c r="E5" s="13"/>
      <c r="F5" s="13"/>
      <c r="G5" s="13"/>
    </row>
    <row r="6" spans="1:7" ht="21" x14ac:dyDescent="0.5">
      <c r="A6" s="13" t="s">
        <v>183</v>
      </c>
      <c r="B6" s="13"/>
      <c r="C6" s="13"/>
      <c r="D6" s="13"/>
      <c r="E6" s="13"/>
      <c r="F6" s="13"/>
      <c r="G6" s="13"/>
    </row>
    <row r="7" spans="1:7" ht="21" x14ac:dyDescent="0.5">
      <c r="A7" s="13" t="s">
        <v>184</v>
      </c>
      <c r="B7" s="13"/>
      <c r="C7" s="13"/>
      <c r="D7" s="13"/>
      <c r="E7" s="13"/>
      <c r="F7" s="13"/>
      <c r="G7" s="13"/>
    </row>
    <row r="8" spans="1:7" ht="21" x14ac:dyDescent="0.5">
      <c r="A8" s="13" t="s">
        <v>185</v>
      </c>
      <c r="B8" s="13"/>
      <c r="C8" s="13"/>
      <c r="D8" s="13"/>
      <c r="E8" s="13"/>
      <c r="F8" s="13"/>
      <c r="G8" s="13"/>
    </row>
    <row r="9" spans="1:7" ht="21" x14ac:dyDescent="0.5">
      <c r="A9" s="13" t="s">
        <v>186</v>
      </c>
      <c r="B9" s="13"/>
      <c r="C9" s="13"/>
      <c r="D9" s="13"/>
      <c r="E9" s="13"/>
      <c r="F9" s="13"/>
      <c r="G9" s="13"/>
    </row>
    <row r="10" spans="1:7" ht="21" x14ac:dyDescent="0.5">
      <c r="A10" s="13" t="s">
        <v>187</v>
      </c>
      <c r="B10" s="13"/>
      <c r="C10" s="13"/>
      <c r="D10" s="13"/>
      <c r="E10" s="13"/>
      <c r="F10" s="13"/>
      <c r="G10" s="13"/>
    </row>
    <row r="11" spans="1:7" ht="21" x14ac:dyDescent="0.5">
      <c r="A11" s="13" t="s">
        <v>188</v>
      </c>
      <c r="B11" s="13"/>
      <c r="C11" s="13"/>
      <c r="D11" s="13"/>
      <c r="E11" s="13"/>
      <c r="F11" s="13"/>
      <c r="G11" s="13"/>
    </row>
    <row r="12" spans="1:7" ht="21" x14ac:dyDescent="0.5">
      <c r="A12" s="13" t="s">
        <v>189</v>
      </c>
      <c r="B12" s="13"/>
      <c r="C12" s="13"/>
      <c r="D12" s="13"/>
      <c r="E12" s="13"/>
      <c r="F12" s="13"/>
      <c r="G12" s="13"/>
    </row>
    <row r="13" spans="1:7" ht="21" x14ac:dyDescent="0.5">
      <c r="A13" s="13" t="s">
        <v>190</v>
      </c>
      <c r="B13" s="13"/>
      <c r="C13" s="13"/>
      <c r="D13" s="13"/>
      <c r="E13" s="13"/>
      <c r="F13" s="13"/>
      <c r="G13" s="13"/>
    </row>
    <row r="14" spans="1:7" ht="21" x14ac:dyDescent="0.5">
      <c r="A14" s="13" t="s">
        <v>191</v>
      </c>
      <c r="B14" s="13"/>
      <c r="C14" s="13"/>
      <c r="D14" s="13"/>
      <c r="E14" s="13"/>
      <c r="F14" s="13"/>
      <c r="G14" s="13"/>
    </row>
    <row r="15" spans="1:7" ht="21" x14ac:dyDescent="0.5">
      <c r="A15" s="13" t="s">
        <v>192</v>
      </c>
      <c r="B15" s="13"/>
      <c r="C15" s="13"/>
      <c r="D15" s="13"/>
      <c r="E15" s="13"/>
      <c r="F15" s="13"/>
      <c r="G15" s="13"/>
    </row>
    <row r="16" spans="1:7" ht="21" x14ac:dyDescent="0.5">
      <c r="A16" s="13" t="s">
        <v>193</v>
      </c>
      <c r="B16" s="13"/>
      <c r="C16" s="13"/>
      <c r="D16" s="13"/>
      <c r="E16" s="13"/>
      <c r="F16" s="13"/>
      <c r="G16" s="13"/>
    </row>
    <row r="17" spans="1:7" ht="21" x14ac:dyDescent="0.5">
      <c r="A17" s="13" t="s">
        <v>194</v>
      </c>
      <c r="B17" s="13"/>
      <c r="C17" s="13"/>
      <c r="D17" s="13"/>
      <c r="E17" s="13"/>
      <c r="F17" s="13"/>
      <c r="G17" s="13"/>
    </row>
    <row r="18" spans="1:7" ht="21" x14ac:dyDescent="0.5">
      <c r="A18" s="13" t="s">
        <v>195</v>
      </c>
      <c r="B18" s="13"/>
      <c r="C18" s="13"/>
      <c r="D18" s="13"/>
      <c r="E18" s="13"/>
      <c r="F18" s="13"/>
      <c r="G18" s="13"/>
    </row>
    <row r="19" spans="1:7" ht="21" x14ac:dyDescent="0.5">
      <c r="A19" s="13" t="s">
        <v>196</v>
      </c>
      <c r="B19" s="13"/>
      <c r="C19" s="13"/>
      <c r="D19" s="13"/>
      <c r="E19" s="13"/>
      <c r="F19" s="13"/>
      <c r="G19" s="13"/>
    </row>
    <row r="20" spans="1:7" ht="21" x14ac:dyDescent="0.5">
      <c r="A20" s="13" t="s">
        <v>197</v>
      </c>
      <c r="B20" s="13"/>
      <c r="C20" s="13"/>
      <c r="D20" s="13"/>
      <c r="E20" s="13"/>
      <c r="F20" s="13"/>
      <c r="G20" s="13"/>
    </row>
    <row r="21" spans="1:7" ht="21" x14ac:dyDescent="0.5">
      <c r="A21" s="13" t="s">
        <v>200</v>
      </c>
      <c r="B21" s="13"/>
      <c r="C21" s="13"/>
      <c r="D21" s="13"/>
      <c r="E21" s="13"/>
      <c r="F21" s="13"/>
      <c r="G21" s="13"/>
    </row>
    <row r="22" spans="1:7" ht="21" x14ac:dyDescent="0.5">
      <c r="A22" s="13" t="s">
        <v>201</v>
      </c>
      <c r="B22" s="13"/>
      <c r="C22" s="13"/>
      <c r="D22" s="13"/>
      <c r="E22" s="13"/>
      <c r="F22" s="13"/>
      <c r="G22" s="13"/>
    </row>
    <row r="23" spans="1:7" ht="21" x14ac:dyDescent="0.5">
      <c r="A23" s="13" t="s">
        <v>408</v>
      </c>
      <c r="B23" s="13"/>
      <c r="C23" s="13"/>
      <c r="D23" s="13"/>
      <c r="E23" s="13"/>
      <c r="F23" s="13"/>
      <c r="G23" s="13"/>
    </row>
    <row r="24" spans="1:7" ht="21" x14ac:dyDescent="0.5">
      <c r="A24" s="13" t="s">
        <v>409</v>
      </c>
      <c r="B24" s="13"/>
      <c r="C24" s="13"/>
      <c r="D24" s="13"/>
      <c r="E24" s="13"/>
      <c r="F24" s="13"/>
      <c r="G24" s="13"/>
    </row>
    <row r="25" spans="1:7" ht="21" x14ac:dyDescent="0.5">
      <c r="A25" s="13" t="s">
        <v>410</v>
      </c>
      <c r="B25" s="13"/>
      <c r="C25" s="13"/>
      <c r="D25" s="13"/>
      <c r="E25" s="13"/>
      <c r="F25" s="13"/>
      <c r="G25" s="13"/>
    </row>
    <row r="26" spans="1:7" ht="21" x14ac:dyDescent="0.5">
      <c r="A26" s="13" t="s">
        <v>411</v>
      </c>
      <c r="B26" s="13"/>
      <c r="C26" s="13"/>
      <c r="D26" s="13"/>
      <c r="E26" s="13"/>
      <c r="F26" s="13"/>
      <c r="G26" s="13"/>
    </row>
    <row r="27" spans="1:7" ht="21" x14ac:dyDescent="0.5">
      <c r="A27" s="13" t="s">
        <v>412</v>
      </c>
      <c r="B27" s="13"/>
      <c r="C27" s="13"/>
      <c r="D27" s="13"/>
      <c r="E27" s="13"/>
      <c r="F27" s="13"/>
      <c r="G27" s="13"/>
    </row>
    <row r="28" spans="1:7" ht="21" x14ac:dyDescent="0.5">
      <c r="A28" s="13" t="s">
        <v>413</v>
      </c>
      <c r="B28" s="13"/>
      <c r="C28" s="13"/>
      <c r="D28" s="13"/>
      <c r="E28" s="13"/>
      <c r="F28" s="13"/>
      <c r="G28" s="13"/>
    </row>
    <row r="29" spans="1:7" ht="21" x14ac:dyDescent="0.5">
      <c r="A29" s="13" t="s">
        <v>414</v>
      </c>
      <c r="B29" s="13"/>
      <c r="C29" s="13"/>
      <c r="D29" s="13"/>
      <c r="E29" s="13"/>
      <c r="F29" s="13"/>
      <c r="G29" s="13"/>
    </row>
    <row r="30" spans="1:7" ht="21" x14ac:dyDescent="0.5">
      <c r="A30" s="13" t="s">
        <v>415</v>
      </c>
      <c r="B30" s="13"/>
      <c r="C30" s="13"/>
      <c r="D30" s="13"/>
      <c r="E30" s="13"/>
      <c r="F30" s="13"/>
      <c r="G30" s="13"/>
    </row>
    <row r="31" spans="1:7" ht="21" x14ac:dyDescent="0.5">
      <c r="A31" s="13" t="s">
        <v>416</v>
      </c>
      <c r="B31" s="13"/>
      <c r="C31" s="13"/>
      <c r="D31" s="13"/>
      <c r="E31" s="13"/>
      <c r="F31" s="13"/>
      <c r="G31" s="13"/>
    </row>
    <row r="32" spans="1:7" ht="21" x14ac:dyDescent="0.5">
      <c r="A32" s="13" t="s">
        <v>417</v>
      </c>
      <c r="B32" s="13"/>
      <c r="C32" s="13"/>
      <c r="D32" s="13"/>
      <c r="E32" s="13"/>
      <c r="F32" s="13"/>
      <c r="G32" s="13"/>
    </row>
    <row r="33" spans="1:7" ht="21" x14ac:dyDescent="0.5">
      <c r="A33" s="13" t="s">
        <v>418</v>
      </c>
      <c r="B33" s="13"/>
      <c r="C33" s="13"/>
      <c r="D33" s="13"/>
      <c r="E33" s="13"/>
      <c r="F33" s="13"/>
      <c r="G33" s="13"/>
    </row>
    <row r="34" spans="1:7" ht="21" x14ac:dyDescent="0.5">
      <c r="A34" s="13" t="s">
        <v>419</v>
      </c>
      <c r="B34" s="13"/>
      <c r="C34" s="13"/>
      <c r="D34" s="13"/>
      <c r="E34" s="13"/>
      <c r="F34" s="13"/>
      <c r="G34" s="13"/>
    </row>
    <row r="35" spans="1:7" ht="21" x14ac:dyDescent="0.5">
      <c r="A35" s="13" t="s">
        <v>420</v>
      </c>
      <c r="B35" s="13"/>
      <c r="C35" s="13"/>
      <c r="D35" s="13"/>
      <c r="E35" s="13"/>
      <c r="F35" s="13"/>
      <c r="G35" s="13"/>
    </row>
    <row r="36" spans="1:7" ht="21" x14ac:dyDescent="0.5">
      <c r="A36" s="13" t="s">
        <v>421</v>
      </c>
      <c r="B36" s="13"/>
      <c r="C36" s="13"/>
      <c r="D36" s="13"/>
      <c r="E36" s="13"/>
      <c r="F36" s="13"/>
      <c r="G36" s="13"/>
    </row>
    <row r="37" spans="1:7" ht="21" x14ac:dyDescent="0.5">
      <c r="A37" s="13" t="s">
        <v>422</v>
      </c>
      <c r="B37" s="13"/>
      <c r="C37" s="13"/>
      <c r="D37" s="13"/>
      <c r="E37" s="13"/>
      <c r="F37" s="13"/>
      <c r="G37" s="13"/>
    </row>
  </sheetData>
  <phoneticPr fontId="1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B581A-2E18-41D2-9C70-81F50D9F1898}">
  <dimension ref="A1:J22"/>
  <sheetViews>
    <sheetView zoomScale="110" zoomScaleNormal="110" workbookViewId="0">
      <selection activeCell="B38" sqref="B38"/>
    </sheetView>
  </sheetViews>
  <sheetFormatPr defaultRowHeight="14.5" x14ac:dyDescent="0.35"/>
  <cols>
    <col min="1" max="1" width="28" bestFit="1" customWidth="1"/>
    <col min="2" max="2" width="38.81640625" bestFit="1" customWidth="1"/>
    <col min="3" max="4" width="27.81640625" customWidth="1"/>
    <col min="5" max="5" width="17.26953125" bestFit="1" customWidth="1"/>
    <col min="6" max="6" width="17.54296875" bestFit="1" customWidth="1"/>
    <col min="7" max="7" width="17.7265625" bestFit="1" customWidth="1"/>
    <col min="10" max="10" width="80.1796875" bestFit="1" customWidth="1"/>
    <col min="19" max="19" width="80.1796875" bestFit="1" customWidth="1"/>
  </cols>
  <sheetData>
    <row r="1" spans="1:10" x14ac:dyDescent="0.35">
      <c r="A1" s="23" t="s">
        <v>232</v>
      </c>
      <c r="B1" s="23" t="s">
        <v>231</v>
      </c>
      <c r="C1" s="26" t="s">
        <v>230</v>
      </c>
      <c r="D1" s="26" t="s">
        <v>233</v>
      </c>
      <c r="E1" s="23" t="s">
        <v>225</v>
      </c>
      <c r="F1" s="23" t="s">
        <v>226</v>
      </c>
      <c r="G1" s="23" t="s">
        <v>234</v>
      </c>
      <c r="H1" s="23" t="s">
        <v>9</v>
      </c>
    </row>
    <row r="2" spans="1:10" x14ac:dyDescent="0.35">
      <c r="A2" s="27" t="s">
        <v>202</v>
      </c>
      <c r="B2" s="28" t="s">
        <v>203</v>
      </c>
      <c r="C2" s="1"/>
      <c r="D2" s="1"/>
      <c r="E2" s="1"/>
      <c r="F2" s="1"/>
      <c r="G2" s="1"/>
      <c r="H2" s="1"/>
      <c r="J2" s="25" t="s">
        <v>227</v>
      </c>
    </row>
    <row r="3" spans="1:10" x14ac:dyDescent="0.35">
      <c r="A3" s="29"/>
      <c r="B3" s="28" t="s">
        <v>204</v>
      </c>
      <c r="C3" s="1"/>
      <c r="D3" s="1"/>
      <c r="E3" s="1"/>
      <c r="F3" s="1"/>
      <c r="G3" s="1"/>
      <c r="H3" s="1"/>
      <c r="J3" s="25" t="s">
        <v>228</v>
      </c>
    </row>
    <row r="4" spans="1:10" ht="17" x14ac:dyDescent="0.35">
      <c r="A4" s="1"/>
      <c r="B4" s="30" t="s">
        <v>205</v>
      </c>
      <c r="C4" s="1"/>
      <c r="D4" s="1"/>
      <c r="E4" s="1"/>
      <c r="F4" s="1"/>
      <c r="G4" s="1"/>
      <c r="H4" s="1"/>
      <c r="J4" s="25" t="s">
        <v>229</v>
      </c>
    </row>
    <row r="5" spans="1:10" x14ac:dyDescent="0.35">
      <c r="A5" s="1"/>
      <c r="B5" s="30" t="s">
        <v>206</v>
      </c>
      <c r="C5" s="1"/>
      <c r="D5" s="1"/>
      <c r="E5" s="1"/>
      <c r="F5" s="1"/>
      <c r="G5" s="1"/>
      <c r="H5" s="1"/>
    </row>
    <row r="6" spans="1:10" x14ac:dyDescent="0.35">
      <c r="A6" s="1"/>
      <c r="B6" s="30" t="s">
        <v>207</v>
      </c>
      <c r="C6" s="1"/>
      <c r="D6" s="1"/>
      <c r="E6" s="1"/>
      <c r="F6" s="1"/>
      <c r="G6" s="1"/>
      <c r="H6" s="1"/>
    </row>
    <row r="7" spans="1:10" x14ac:dyDescent="0.35">
      <c r="A7" s="1"/>
      <c r="B7" s="28" t="s">
        <v>208</v>
      </c>
      <c r="C7" s="1"/>
      <c r="D7" s="1"/>
      <c r="E7" s="1"/>
      <c r="F7" s="1"/>
      <c r="G7" s="1"/>
      <c r="H7" s="1"/>
    </row>
    <row r="8" spans="1:10" x14ac:dyDescent="0.35">
      <c r="A8" s="1"/>
      <c r="B8" s="28" t="s">
        <v>209</v>
      </c>
      <c r="C8" s="1"/>
      <c r="D8" s="1"/>
      <c r="E8" s="1"/>
      <c r="F8" s="1"/>
      <c r="G8" s="1"/>
      <c r="H8" s="1"/>
    </row>
    <row r="9" spans="1:10" x14ac:dyDescent="0.35">
      <c r="A9" s="1"/>
      <c r="B9" s="28" t="s">
        <v>210</v>
      </c>
      <c r="C9" s="1"/>
      <c r="D9" s="1"/>
      <c r="E9" s="1"/>
      <c r="F9" s="1"/>
      <c r="G9" s="1"/>
      <c r="H9" s="1"/>
    </row>
    <row r="10" spans="1:10" x14ac:dyDescent="0.35">
      <c r="A10" s="1"/>
      <c r="B10" s="31" t="s">
        <v>211</v>
      </c>
      <c r="C10" s="1"/>
      <c r="D10" s="1"/>
      <c r="E10" s="1"/>
      <c r="F10" s="1"/>
      <c r="G10" s="1"/>
      <c r="H10" s="1"/>
    </row>
    <row r="11" spans="1:10" x14ac:dyDescent="0.35">
      <c r="A11" s="1"/>
      <c r="B11" s="28" t="s">
        <v>212</v>
      </c>
      <c r="C11" s="1"/>
      <c r="D11" s="1"/>
      <c r="E11" s="1"/>
      <c r="F11" s="1"/>
      <c r="G11" s="1"/>
      <c r="H11" s="1"/>
    </row>
    <row r="12" spans="1:10" x14ac:dyDescent="0.35">
      <c r="A12" s="1"/>
      <c r="B12" s="28" t="s">
        <v>213</v>
      </c>
      <c r="C12" s="1"/>
      <c r="D12" s="1"/>
      <c r="E12" s="1"/>
      <c r="F12" s="1"/>
      <c r="G12" s="1"/>
      <c r="H12" s="1"/>
    </row>
    <row r="13" spans="1:10" x14ac:dyDescent="0.35">
      <c r="A13" s="1"/>
      <c r="B13" s="28" t="s">
        <v>214</v>
      </c>
      <c r="C13" s="1"/>
      <c r="D13" s="1"/>
      <c r="E13" s="1"/>
      <c r="F13" s="1"/>
      <c r="G13" s="1"/>
      <c r="H13" s="1"/>
    </row>
    <row r="14" spans="1:10" x14ac:dyDescent="0.35">
      <c r="A14" s="1"/>
      <c r="B14" s="28" t="s">
        <v>215</v>
      </c>
      <c r="C14" s="1"/>
      <c r="D14" s="1"/>
      <c r="E14" s="1"/>
      <c r="F14" s="1"/>
      <c r="G14" s="1"/>
      <c r="H14" s="1"/>
    </row>
    <row r="15" spans="1:10" x14ac:dyDescent="0.35">
      <c r="A15" s="1"/>
      <c r="B15" s="28" t="s">
        <v>216</v>
      </c>
      <c r="C15" s="1"/>
      <c r="D15" s="1"/>
      <c r="E15" s="1"/>
      <c r="F15" s="1"/>
      <c r="G15" s="1"/>
      <c r="H15" s="1"/>
    </row>
    <row r="16" spans="1:10" x14ac:dyDescent="0.35">
      <c r="A16" s="1"/>
      <c r="B16" s="28" t="s">
        <v>217</v>
      </c>
      <c r="C16" s="1"/>
      <c r="D16" s="1"/>
      <c r="E16" s="1"/>
      <c r="F16" s="1"/>
      <c r="G16" s="1"/>
      <c r="H16" s="1"/>
    </row>
    <row r="17" spans="1:8" x14ac:dyDescent="0.35">
      <c r="A17" s="1"/>
      <c r="B17" s="31" t="s">
        <v>218</v>
      </c>
      <c r="C17" s="1"/>
      <c r="D17" s="1"/>
      <c r="E17" s="1"/>
      <c r="F17" s="1"/>
      <c r="G17" s="1"/>
      <c r="H17" s="1"/>
    </row>
    <row r="18" spans="1:8" x14ac:dyDescent="0.35">
      <c r="A18" s="3" t="s">
        <v>219</v>
      </c>
      <c r="B18" s="32" t="s">
        <v>220</v>
      </c>
      <c r="C18" s="1"/>
      <c r="D18" s="1"/>
      <c r="E18" s="1"/>
      <c r="F18" s="1"/>
      <c r="G18" s="1"/>
      <c r="H18" s="1"/>
    </row>
    <row r="19" spans="1:8" x14ac:dyDescent="0.35">
      <c r="A19" s="1"/>
      <c r="B19" s="32" t="s">
        <v>221</v>
      </c>
      <c r="C19" s="1"/>
      <c r="D19" s="1"/>
      <c r="E19" s="1"/>
      <c r="F19" s="1"/>
      <c r="G19" s="1"/>
      <c r="H19" s="1"/>
    </row>
    <row r="20" spans="1:8" x14ac:dyDescent="0.35">
      <c r="A20" s="1"/>
      <c r="B20" s="32" t="s">
        <v>222</v>
      </c>
      <c r="C20" s="1"/>
      <c r="D20" s="1"/>
      <c r="E20" s="1"/>
      <c r="F20" s="1"/>
      <c r="G20" s="1"/>
      <c r="H20" s="1"/>
    </row>
    <row r="21" spans="1:8" x14ac:dyDescent="0.35">
      <c r="A21" s="1"/>
      <c r="B21" s="33" t="s">
        <v>223</v>
      </c>
      <c r="C21" s="1"/>
      <c r="D21" s="1"/>
      <c r="E21" s="1"/>
      <c r="F21" s="1"/>
      <c r="G21" s="1"/>
      <c r="H21" s="1"/>
    </row>
    <row r="22" spans="1:8" x14ac:dyDescent="0.35">
      <c r="A22" s="1"/>
      <c r="B22" s="32" t="s">
        <v>224</v>
      </c>
      <c r="C22" s="1"/>
      <c r="D22" s="1"/>
      <c r="E22" s="1"/>
      <c r="F22" s="1"/>
      <c r="G22" s="1"/>
      <c r="H22"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F2131-A950-4A2E-8BA7-6EC6E27115AC}">
  <dimension ref="A1:N49"/>
  <sheetViews>
    <sheetView workbookViewId="0">
      <selection activeCell="D43" sqref="D43"/>
    </sheetView>
  </sheetViews>
  <sheetFormatPr defaultRowHeight="14.5" x14ac:dyDescent="0.35"/>
  <cols>
    <col min="1" max="1" width="14.7265625" customWidth="1"/>
    <col min="2" max="2" width="36.26953125" customWidth="1"/>
    <col min="3" max="3" width="11.1796875" bestFit="1" customWidth="1"/>
    <col min="4" max="4" width="68.7265625" bestFit="1" customWidth="1"/>
    <col min="5" max="5" width="40.54296875" customWidth="1"/>
    <col min="8" max="11" width="0" hidden="1" customWidth="1"/>
    <col min="12" max="12" width="12.7265625" bestFit="1" customWidth="1"/>
  </cols>
  <sheetData>
    <row r="1" spans="1:14" x14ac:dyDescent="0.35">
      <c r="A1" s="55" t="s">
        <v>507</v>
      </c>
      <c r="B1" s="55" t="s">
        <v>515</v>
      </c>
      <c r="C1" s="56" t="s">
        <v>508</v>
      </c>
      <c r="D1" s="55" t="s">
        <v>526</v>
      </c>
      <c r="E1" s="57" t="s">
        <v>173</v>
      </c>
      <c r="F1" s="57" t="s">
        <v>520</v>
      </c>
      <c r="G1" s="57" t="s">
        <v>521</v>
      </c>
      <c r="H1" s="57" t="s">
        <v>522</v>
      </c>
      <c r="I1" s="57" t="s">
        <v>523</v>
      </c>
      <c r="J1" s="57" t="s">
        <v>524</v>
      </c>
      <c r="K1" s="57" t="s">
        <v>525</v>
      </c>
      <c r="L1" s="57" t="s">
        <v>531</v>
      </c>
      <c r="M1" s="57" t="s">
        <v>530</v>
      </c>
      <c r="N1" s="57" t="s">
        <v>9</v>
      </c>
    </row>
    <row r="2" spans="1:14" x14ac:dyDescent="0.35">
      <c r="A2" s="53" t="s">
        <v>501</v>
      </c>
      <c r="B2" s="53" t="s">
        <v>514</v>
      </c>
      <c r="C2" s="54" t="s">
        <v>423</v>
      </c>
      <c r="D2" s="1" t="s">
        <v>471</v>
      </c>
      <c r="E2" t="s">
        <v>527</v>
      </c>
      <c r="F2" t="s">
        <v>247</v>
      </c>
    </row>
    <row r="3" spans="1:14" x14ac:dyDescent="0.35">
      <c r="A3" s="53" t="s">
        <v>501</v>
      </c>
      <c r="B3" s="53" t="s">
        <v>514</v>
      </c>
      <c r="C3" s="54" t="s">
        <v>424</v>
      </c>
      <c r="D3" s="1" t="s">
        <v>472</v>
      </c>
      <c r="E3" t="s">
        <v>528</v>
      </c>
    </row>
    <row r="4" spans="1:14" x14ac:dyDescent="0.35">
      <c r="A4" s="53" t="s">
        <v>501</v>
      </c>
      <c r="B4" s="53" t="s">
        <v>514</v>
      </c>
      <c r="C4" s="54" t="s">
        <v>425</v>
      </c>
      <c r="D4" s="1" t="s">
        <v>473</v>
      </c>
      <c r="E4" t="s">
        <v>529</v>
      </c>
    </row>
    <row r="5" spans="1:14" x14ac:dyDescent="0.35">
      <c r="A5" s="53" t="s">
        <v>501</v>
      </c>
      <c r="B5" s="53" t="s">
        <v>514</v>
      </c>
      <c r="C5" s="54" t="s">
        <v>426</v>
      </c>
      <c r="D5" s="1" t="s">
        <v>47</v>
      </c>
    </row>
    <row r="6" spans="1:14" x14ac:dyDescent="0.35">
      <c r="A6" s="53" t="s">
        <v>501</v>
      </c>
      <c r="B6" s="53" t="s">
        <v>514</v>
      </c>
      <c r="C6" s="54" t="s">
        <v>431</v>
      </c>
      <c r="D6" s="1" t="s">
        <v>49</v>
      </c>
    </row>
    <row r="7" spans="1:14" x14ac:dyDescent="0.35">
      <c r="A7" s="53" t="s">
        <v>501</v>
      </c>
      <c r="B7" s="53" t="s">
        <v>514</v>
      </c>
      <c r="C7" s="54" t="s">
        <v>432</v>
      </c>
      <c r="D7" s="1" t="s">
        <v>477</v>
      </c>
    </row>
    <row r="8" spans="1:14" x14ac:dyDescent="0.35">
      <c r="A8" s="53" t="s">
        <v>501</v>
      </c>
      <c r="B8" s="53" t="s">
        <v>514</v>
      </c>
      <c r="C8" s="54" t="s">
        <v>435</v>
      </c>
      <c r="D8" s="1" t="s">
        <v>480</v>
      </c>
    </row>
    <row r="9" spans="1:14" x14ac:dyDescent="0.35">
      <c r="A9" s="53" t="s">
        <v>501</v>
      </c>
      <c r="B9" s="53" t="s">
        <v>514</v>
      </c>
      <c r="C9" s="54" t="s">
        <v>469</v>
      </c>
      <c r="D9" s="1" t="s">
        <v>518</v>
      </c>
    </row>
    <row r="10" spans="1:14" x14ac:dyDescent="0.35">
      <c r="A10" s="53" t="s">
        <v>506</v>
      </c>
      <c r="B10" s="53" t="s">
        <v>513</v>
      </c>
      <c r="C10" s="54" t="s">
        <v>442</v>
      </c>
      <c r="D10" s="1" t="s">
        <v>482</v>
      </c>
    </row>
    <row r="11" spans="1:14" x14ac:dyDescent="0.35">
      <c r="A11" s="53" t="s">
        <v>506</v>
      </c>
      <c r="B11" s="53" t="s">
        <v>513</v>
      </c>
      <c r="C11" s="54" t="s">
        <v>457</v>
      </c>
      <c r="D11" s="1" t="s">
        <v>491</v>
      </c>
    </row>
    <row r="12" spans="1:14" x14ac:dyDescent="0.35">
      <c r="A12" s="53" t="s">
        <v>506</v>
      </c>
      <c r="B12" s="53" t="s">
        <v>513</v>
      </c>
      <c r="C12" s="54" t="s">
        <v>460</v>
      </c>
      <c r="D12" s="1" t="s">
        <v>494</v>
      </c>
    </row>
    <row r="13" spans="1:14" x14ac:dyDescent="0.35">
      <c r="A13" s="53" t="s">
        <v>506</v>
      </c>
      <c r="B13" s="53" t="s">
        <v>513</v>
      </c>
      <c r="C13" s="54" t="s">
        <v>467</v>
      </c>
      <c r="D13" s="1" t="s">
        <v>516</v>
      </c>
    </row>
    <row r="14" spans="1:14" x14ac:dyDescent="0.35">
      <c r="A14" s="53" t="s">
        <v>506</v>
      </c>
      <c r="B14" s="53" t="s">
        <v>513</v>
      </c>
      <c r="C14" s="54" t="s">
        <v>468</v>
      </c>
      <c r="D14" s="1" t="s">
        <v>517</v>
      </c>
    </row>
    <row r="15" spans="1:14" x14ac:dyDescent="0.35">
      <c r="A15" s="53" t="s">
        <v>506</v>
      </c>
      <c r="B15" s="53" t="s">
        <v>513</v>
      </c>
      <c r="C15" s="54" t="s">
        <v>470</v>
      </c>
      <c r="D15" s="1" t="s">
        <v>519</v>
      </c>
    </row>
    <row r="16" spans="1:14" x14ac:dyDescent="0.35">
      <c r="A16" s="53" t="s">
        <v>505</v>
      </c>
      <c r="B16" s="53" t="s">
        <v>512</v>
      </c>
      <c r="C16" s="54" t="s">
        <v>439</v>
      </c>
      <c r="D16" s="1" t="s">
        <v>481</v>
      </c>
    </row>
    <row r="17" spans="1:4" x14ac:dyDescent="0.35">
      <c r="A17" s="53" t="s">
        <v>505</v>
      </c>
      <c r="B17" s="53" t="s">
        <v>512</v>
      </c>
      <c r="C17" s="54" t="s">
        <v>441</v>
      </c>
      <c r="D17" s="1" t="s">
        <v>40</v>
      </c>
    </row>
    <row r="18" spans="1:4" x14ac:dyDescent="0.35">
      <c r="A18" s="53" t="s">
        <v>505</v>
      </c>
      <c r="B18" s="53" t="s">
        <v>512</v>
      </c>
      <c r="C18" s="54" t="s">
        <v>443</v>
      </c>
      <c r="D18" s="1" t="s">
        <v>483</v>
      </c>
    </row>
    <row r="19" spans="1:4" x14ac:dyDescent="0.35">
      <c r="A19" s="53" t="s">
        <v>505</v>
      </c>
      <c r="B19" s="53" t="s">
        <v>512</v>
      </c>
      <c r="C19" s="54" t="s">
        <v>444</v>
      </c>
      <c r="D19" s="1" t="s">
        <v>484</v>
      </c>
    </row>
    <row r="20" spans="1:4" x14ac:dyDescent="0.35">
      <c r="A20" s="53" t="s">
        <v>505</v>
      </c>
      <c r="B20" s="53" t="s">
        <v>512</v>
      </c>
      <c r="C20" s="54" t="s">
        <v>445</v>
      </c>
      <c r="D20" s="1" t="s">
        <v>41</v>
      </c>
    </row>
    <row r="21" spans="1:4" x14ac:dyDescent="0.35">
      <c r="A21" s="53" t="s">
        <v>505</v>
      </c>
      <c r="B21" s="53" t="s">
        <v>512</v>
      </c>
      <c r="C21" s="54" t="s">
        <v>451</v>
      </c>
      <c r="D21" s="1" t="s">
        <v>43</v>
      </c>
    </row>
    <row r="22" spans="1:4" x14ac:dyDescent="0.35">
      <c r="A22" s="53" t="s">
        <v>505</v>
      </c>
      <c r="B22" s="53" t="s">
        <v>512</v>
      </c>
      <c r="C22" s="54" t="s">
        <v>453</v>
      </c>
      <c r="D22" s="1" t="s">
        <v>489</v>
      </c>
    </row>
    <row r="23" spans="1:4" x14ac:dyDescent="0.35">
      <c r="A23" s="53" t="s">
        <v>505</v>
      </c>
      <c r="B23" s="53" t="s">
        <v>512</v>
      </c>
      <c r="C23" s="54" t="s">
        <v>454</v>
      </c>
      <c r="D23" s="1" t="s">
        <v>45</v>
      </c>
    </row>
    <row r="24" spans="1:4" x14ac:dyDescent="0.35">
      <c r="A24" s="53" t="s">
        <v>505</v>
      </c>
      <c r="B24" s="53" t="s">
        <v>512</v>
      </c>
      <c r="C24" s="54" t="s">
        <v>455</v>
      </c>
      <c r="D24" s="1" t="s">
        <v>46</v>
      </c>
    </row>
    <row r="25" spans="1:4" x14ac:dyDescent="0.35">
      <c r="A25" s="53" t="s">
        <v>504</v>
      </c>
      <c r="B25" s="53" t="s">
        <v>511</v>
      </c>
      <c r="C25" s="54" t="s">
        <v>436</v>
      </c>
      <c r="D25" s="1" t="s">
        <v>38</v>
      </c>
    </row>
    <row r="26" spans="1:4" x14ac:dyDescent="0.35">
      <c r="A26" s="53" t="s">
        <v>504</v>
      </c>
      <c r="B26" s="53" t="s">
        <v>511</v>
      </c>
      <c r="C26" s="54" t="s">
        <v>437</v>
      </c>
      <c r="D26" s="1" t="s">
        <v>50</v>
      </c>
    </row>
    <row r="27" spans="1:4" x14ac:dyDescent="0.35">
      <c r="A27" s="53" t="s">
        <v>504</v>
      </c>
      <c r="B27" s="53" t="s">
        <v>511</v>
      </c>
      <c r="C27" s="54" t="s">
        <v>438</v>
      </c>
      <c r="D27" s="1" t="s">
        <v>51</v>
      </c>
    </row>
    <row r="28" spans="1:4" x14ac:dyDescent="0.35">
      <c r="A28" s="53" t="s">
        <v>504</v>
      </c>
      <c r="B28" s="53" t="s">
        <v>511</v>
      </c>
      <c r="C28" s="54" t="s">
        <v>440</v>
      </c>
      <c r="D28" s="1" t="s">
        <v>39</v>
      </c>
    </row>
    <row r="29" spans="1:4" x14ac:dyDescent="0.35">
      <c r="A29" s="53" t="s">
        <v>504</v>
      </c>
      <c r="B29" s="53" t="s">
        <v>511</v>
      </c>
      <c r="C29" s="54" t="s">
        <v>450</v>
      </c>
      <c r="D29" s="1" t="s">
        <v>42</v>
      </c>
    </row>
    <row r="30" spans="1:4" x14ac:dyDescent="0.35">
      <c r="A30" s="53" t="s">
        <v>504</v>
      </c>
      <c r="B30" s="53" t="s">
        <v>511</v>
      </c>
      <c r="C30" s="54" t="s">
        <v>452</v>
      </c>
      <c r="D30" s="1" t="s">
        <v>44</v>
      </c>
    </row>
    <row r="31" spans="1:4" x14ac:dyDescent="0.35">
      <c r="A31" s="53" t="s">
        <v>503</v>
      </c>
      <c r="B31" s="53" t="s">
        <v>510</v>
      </c>
      <c r="C31" s="54" t="s">
        <v>430</v>
      </c>
      <c r="D31" s="1" t="s">
        <v>476</v>
      </c>
    </row>
    <row r="32" spans="1:4" x14ac:dyDescent="0.35">
      <c r="A32" s="53" t="s">
        <v>503</v>
      </c>
      <c r="B32" s="53" t="s">
        <v>510</v>
      </c>
      <c r="C32" s="54" t="s">
        <v>446</v>
      </c>
      <c r="D32" s="1" t="s">
        <v>485</v>
      </c>
    </row>
    <row r="33" spans="1:4" x14ac:dyDescent="0.35">
      <c r="A33" s="53" t="s">
        <v>503</v>
      </c>
      <c r="B33" s="53" t="s">
        <v>510</v>
      </c>
      <c r="C33" s="54" t="s">
        <v>447</v>
      </c>
      <c r="D33" s="1" t="s">
        <v>486</v>
      </c>
    </row>
    <row r="34" spans="1:4" x14ac:dyDescent="0.35">
      <c r="A34" s="53" t="s">
        <v>503</v>
      </c>
      <c r="B34" s="53" t="s">
        <v>510</v>
      </c>
      <c r="C34" s="54" t="s">
        <v>448</v>
      </c>
      <c r="D34" s="1" t="s">
        <v>487</v>
      </c>
    </row>
    <row r="35" spans="1:4" x14ac:dyDescent="0.35">
      <c r="A35" s="53" t="s">
        <v>503</v>
      </c>
      <c r="B35" s="53" t="s">
        <v>510</v>
      </c>
      <c r="C35" s="54" t="s">
        <v>449</v>
      </c>
      <c r="D35" s="1" t="s">
        <v>488</v>
      </c>
    </row>
    <row r="36" spans="1:4" x14ac:dyDescent="0.35">
      <c r="A36" s="53" t="s">
        <v>503</v>
      </c>
      <c r="B36" s="53" t="s">
        <v>510</v>
      </c>
      <c r="C36" s="54" t="s">
        <v>456</v>
      </c>
      <c r="D36" s="1" t="s">
        <v>490</v>
      </c>
    </row>
    <row r="37" spans="1:4" x14ac:dyDescent="0.35">
      <c r="A37" s="53" t="s">
        <v>503</v>
      </c>
      <c r="B37" s="53" t="s">
        <v>510</v>
      </c>
      <c r="C37" s="54" t="s">
        <v>458</v>
      </c>
      <c r="D37" s="1" t="s">
        <v>492</v>
      </c>
    </row>
    <row r="38" spans="1:4" x14ac:dyDescent="0.35">
      <c r="A38" s="53" t="s">
        <v>503</v>
      </c>
      <c r="B38" s="53" t="s">
        <v>510</v>
      </c>
      <c r="C38" s="54" t="s">
        <v>459</v>
      </c>
      <c r="D38" s="1" t="s">
        <v>493</v>
      </c>
    </row>
    <row r="39" spans="1:4" x14ac:dyDescent="0.35">
      <c r="A39" s="53" t="s">
        <v>503</v>
      </c>
      <c r="B39" s="53" t="s">
        <v>510</v>
      </c>
      <c r="C39" s="54" t="s">
        <v>461</v>
      </c>
      <c r="D39" s="1" t="s">
        <v>495</v>
      </c>
    </row>
    <row r="40" spans="1:4" x14ac:dyDescent="0.35">
      <c r="A40" s="53" t="s">
        <v>503</v>
      </c>
      <c r="B40" s="53" t="s">
        <v>510</v>
      </c>
      <c r="C40" s="54" t="s">
        <v>462</v>
      </c>
      <c r="D40" s="1" t="s">
        <v>496</v>
      </c>
    </row>
    <row r="41" spans="1:4" x14ac:dyDescent="0.35">
      <c r="A41" s="53" t="s">
        <v>503</v>
      </c>
      <c r="B41" s="53" t="s">
        <v>510</v>
      </c>
      <c r="C41" s="54" t="s">
        <v>466</v>
      </c>
      <c r="D41" s="1" t="s">
        <v>500</v>
      </c>
    </row>
    <row r="42" spans="1:4" x14ac:dyDescent="0.35">
      <c r="A42" s="53" t="s">
        <v>502</v>
      </c>
      <c r="B42" s="53" t="s">
        <v>509</v>
      </c>
      <c r="C42" s="54" t="s">
        <v>427</v>
      </c>
      <c r="D42" s="1" t="s">
        <v>48</v>
      </c>
    </row>
    <row r="43" spans="1:4" x14ac:dyDescent="0.35">
      <c r="A43" s="53" t="s">
        <v>502</v>
      </c>
      <c r="B43" s="53" t="s">
        <v>509</v>
      </c>
      <c r="C43" s="54" t="s">
        <v>428</v>
      </c>
      <c r="D43" s="1" t="s">
        <v>474</v>
      </c>
    </row>
    <row r="44" spans="1:4" x14ac:dyDescent="0.35">
      <c r="A44" s="53" t="s">
        <v>502</v>
      </c>
      <c r="B44" s="53" t="s">
        <v>509</v>
      </c>
      <c r="C44" s="54" t="s">
        <v>429</v>
      </c>
      <c r="D44" s="1" t="s">
        <v>475</v>
      </c>
    </row>
    <row r="45" spans="1:4" x14ac:dyDescent="0.35">
      <c r="A45" s="53" t="s">
        <v>502</v>
      </c>
      <c r="B45" s="53" t="s">
        <v>509</v>
      </c>
      <c r="C45" s="54" t="s">
        <v>433</v>
      </c>
      <c r="D45" s="1" t="s">
        <v>478</v>
      </c>
    </row>
    <row r="46" spans="1:4" x14ac:dyDescent="0.35">
      <c r="A46" s="53" t="s">
        <v>502</v>
      </c>
      <c r="B46" s="53" t="s">
        <v>509</v>
      </c>
      <c r="C46" s="54" t="s">
        <v>434</v>
      </c>
      <c r="D46" s="1" t="s">
        <v>479</v>
      </c>
    </row>
    <row r="47" spans="1:4" x14ac:dyDescent="0.35">
      <c r="A47" s="53" t="s">
        <v>502</v>
      </c>
      <c r="B47" s="53" t="s">
        <v>509</v>
      </c>
      <c r="C47" s="54" t="s">
        <v>463</v>
      </c>
      <c r="D47" s="1" t="s">
        <v>497</v>
      </c>
    </row>
    <row r="48" spans="1:4" x14ac:dyDescent="0.35">
      <c r="A48" s="53" t="s">
        <v>502</v>
      </c>
      <c r="B48" s="53" t="s">
        <v>509</v>
      </c>
      <c r="C48" s="54" t="s">
        <v>464</v>
      </c>
      <c r="D48" s="1" t="s">
        <v>498</v>
      </c>
    </row>
    <row r="49" spans="1:4" x14ac:dyDescent="0.35">
      <c r="A49" s="53" t="s">
        <v>502</v>
      </c>
      <c r="B49" s="53" t="s">
        <v>509</v>
      </c>
      <c r="C49" s="54" t="s">
        <v>465</v>
      </c>
      <c r="D49" s="1" t="s">
        <v>499</v>
      </c>
    </row>
  </sheetData>
  <autoFilter ref="A1:D1" xr:uid="{78FF2131-A950-4A2E-8BA7-6EC6E27115AC}">
    <sortState xmlns:xlrd2="http://schemas.microsoft.com/office/spreadsheetml/2017/richdata2" ref="A2:D49">
      <sortCondition ref="A1"/>
    </sortState>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32A39-7373-4472-B9A2-3C3B68B9AE27}">
  <dimension ref="A1:N22"/>
  <sheetViews>
    <sheetView workbookViewId="0">
      <selection activeCell="E13" sqref="E13"/>
    </sheetView>
  </sheetViews>
  <sheetFormatPr defaultRowHeight="14.5" x14ac:dyDescent="0.35"/>
  <cols>
    <col min="1" max="1" width="10.26953125" bestFit="1" customWidth="1"/>
    <col min="2" max="2" width="15.26953125" customWidth="1"/>
    <col min="3" max="3" width="41.7265625" customWidth="1"/>
    <col min="4" max="4" width="73.7265625" style="58" customWidth="1"/>
    <col min="5" max="5" width="61.7265625" customWidth="1"/>
    <col min="6" max="6" width="40.54296875" customWidth="1"/>
    <col min="7" max="7" width="30.453125" customWidth="1"/>
    <col min="8" max="8" width="20.453125" customWidth="1"/>
    <col min="13" max="13" width="13.26953125" bestFit="1" customWidth="1"/>
    <col min="14" max="14" width="22" bestFit="1" customWidth="1"/>
  </cols>
  <sheetData>
    <row r="1" spans="1:14" ht="26.5" thickBot="1" x14ac:dyDescent="0.4">
      <c r="A1" s="60" t="s">
        <v>507</v>
      </c>
      <c r="B1" s="62" t="s">
        <v>551</v>
      </c>
      <c r="C1" s="63" t="s">
        <v>553</v>
      </c>
      <c r="D1" s="63" t="s">
        <v>515</v>
      </c>
      <c r="E1" s="63" t="s">
        <v>52</v>
      </c>
      <c r="F1" s="63" t="s">
        <v>545</v>
      </c>
      <c r="G1" s="63" t="s">
        <v>547</v>
      </c>
      <c r="H1" s="63" t="s">
        <v>549</v>
      </c>
      <c r="I1" s="64" t="s">
        <v>552</v>
      </c>
      <c r="L1" s="9" t="s">
        <v>1</v>
      </c>
      <c r="M1" s="9" t="s">
        <v>2</v>
      </c>
      <c r="N1" s="9" t="s">
        <v>3</v>
      </c>
    </row>
    <row r="2" spans="1:14" ht="29.5" thickBot="1" x14ac:dyDescent="0.4">
      <c r="A2" s="59" t="s">
        <v>501</v>
      </c>
      <c r="B2" s="65"/>
      <c r="C2" s="66"/>
      <c r="D2" s="67" t="s">
        <v>514</v>
      </c>
      <c r="E2" s="66" t="s">
        <v>554</v>
      </c>
      <c r="F2" s="66" t="s">
        <v>555</v>
      </c>
      <c r="G2" s="66" t="s">
        <v>548</v>
      </c>
      <c r="H2" s="66" t="s">
        <v>550</v>
      </c>
      <c r="I2" s="68"/>
      <c r="L2" s="7">
        <v>1410</v>
      </c>
      <c r="M2" s="7">
        <v>3003</v>
      </c>
      <c r="N2" s="8" t="s">
        <v>11</v>
      </c>
    </row>
    <row r="3" spans="1:14" ht="29.5" thickBot="1" x14ac:dyDescent="0.4">
      <c r="A3" s="59" t="s">
        <v>506</v>
      </c>
      <c r="B3" s="65"/>
      <c r="C3" s="66"/>
      <c r="D3" s="67" t="s">
        <v>513</v>
      </c>
      <c r="E3" s="66" t="s">
        <v>556</v>
      </c>
      <c r="F3" s="66" t="s">
        <v>557</v>
      </c>
      <c r="G3" s="66" t="s">
        <v>548</v>
      </c>
      <c r="H3" s="66" t="s">
        <v>550</v>
      </c>
      <c r="I3" s="68"/>
      <c r="L3" s="4">
        <v>1420</v>
      </c>
      <c r="M3" s="5">
        <v>3371</v>
      </c>
      <c r="N3" s="6" t="s">
        <v>169</v>
      </c>
    </row>
    <row r="4" spans="1:14" ht="29.5" thickBot="1" x14ac:dyDescent="0.4">
      <c r="A4" s="59" t="s">
        <v>505</v>
      </c>
      <c r="B4" s="65"/>
      <c r="C4" s="66"/>
      <c r="D4" s="67" t="s">
        <v>512</v>
      </c>
      <c r="E4" s="66" t="s">
        <v>558</v>
      </c>
      <c r="F4" s="66" t="s">
        <v>559</v>
      </c>
      <c r="G4" s="66" t="s">
        <v>548</v>
      </c>
      <c r="H4" s="66" t="s">
        <v>550</v>
      </c>
      <c r="I4" s="68"/>
      <c r="L4" s="4">
        <v>1420</v>
      </c>
      <c r="M4" s="5">
        <v>3372</v>
      </c>
      <c r="N4" s="6" t="s">
        <v>89</v>
      </c>
    </row>
    <row r="5" spans="1:14" ht="29.5" thickBot="1" x14ac:dyDescent="0.4">
      <c r="A5" s="59" t="s">
        <v>504</v>
      </c>
      <c r="B5" s="65"/>
      <c r="C5" s="66"/>
      <c r="D5" s="67" t="s">
        <v>511</v>
      </c>
      <c r="E5" s="66" t="s">
        <v>560</v>
      </c>
      <c r="F5" s="66" t="s">
        <v>546</v>
      </c>
      <c r="G5" s="66" t="s">
        <v>548</v>
      </c>
      <c r="H5" s="66" t="s">
        <v>550</v>
      </c>
      <c r="I5" s="68"/>
      <c r="L5" s="4">
        <v>1420</v>
      </c>
      <c r="M5" s="5">
        <v>3373</v>
      </c>
      <c r="N5" s="6" t="s">
        <v>91</v>
      </c>
    </row>
    <row r="6" spans="1:14" ht="29.5" thickBot="1" x14ac:dyDescent="0.4">
      <c r="A6" s="59" t="s">
        <v>503</v>
      </c>
      <c r="B6" s="65"/>
      <c r="C6" s="66"/>
      <c r="D6" s="67" t="s">
        <v>510</v>
      </c>
      <c r="E6" s="66" t="s">
        <v>561</v>
      </c>
      <c r="F6" s="66" t="s">
        <v>562</v>
      </c>
      <c r="G6" s="66" t="s">
        <v>548</v>
      </c>
      <c r="H6" s="66" t="s">
        <v>550</v>
      </c>
      <c r="I6" s="68"/>
      <c r="L6" s="4">
        <v>1420</v>
      </c>
      <c r="M6" s="5">
        <v>3384</v>
      </c>
      <c r="N6" s="6" t="s">
        <v>111</v>
      </c>
    </row>
    <row r="7" spans="1:14" ht="29" x14ac:dyDescent="0.35">
      <c r="A7" s="59" t="s">
        <v>502</v>
      </c>
      <c r="B7" s="125"/>
      <c r="C7" s="125"/>
      <c r="D7" s="127" t="s">
        <v>509</v>
      </c>
      <c r="E7" s="125" t="s">
        <v>563</v>
      </c>
      <c r="F7" s="69" t="s">
        <v>564</v>
      </c>
      <c r="G7" s="125" t="s">
        <v>548</v>
      </c>
      <c r="H7" s="125" t="s">
        <v>550</v>
      </c>
      <c r="I7" s="123"/>
      <c r="L7" s="4">
        <v>1420</v>
      </c>
      <c r="M7" s="5">
        <v>3385</v>
      </c>
      <c r="N7" s="6" t="s">
        <v>112</v>
      </c>
    </row>
    <row r="8" spans="1:14" ht="15" thickBot="1" x14ac:dyDescent="0.4">
      <c r="A8" s="58"/>
      <c r="B8" s="126"/>
      <c r="C8" s="126"/>
      <c r="D8" s="128"/>
      <c r="E8" s="126"/>
      <c r="F8" s="66" t="s">
        <v>565</v>
      </c>
      <c r="G8" s="126"/>
      <c r="H8" s="126"/>
      <c r="I8" s="124"/>
      <c r="L8" s="4">
        <v>1420</v>
      </c>
      <c r="M8" s="5">
        <v>3386</v>
      </c>
      <c r="N8" s="6" t="s">
        <v>113</v>
      </c>
    </row>
    <row r="9" spans="1:14" x14ac:dyDescent="0.35">
      <c r="L9" s="4">
        <v>1420</v>
      </c>
      <c r="M9" s="5">
        <v>3374</v>
      </c>
      <c r="N9" s="6" t="s">
        <v>114</v>
      </c>
    </row>
    <row r="10" spans="1:14" x14ac:dyDescent="0.35">
      <c r="A10" s="61"/>
      <c r="L10" s="4">
        <v>1420</v>
      </c>
      <c r="M10" s="5">
        <v>3375</v>
      </c>
      <c r="N10" s="6" t="s">
        <v>96</v>
      </c>
    </row>
    <row r="11" spans="1:14" x14ac:dyDescent="0.35">
      <c r="L11" s="4">
        <v>1420</v>
      </c>
      <c r="M11" s="5">
        <v>3376</v>
      </c>
      <c r="N11" s="6" t="s">
        <v>98</v>
      </c>
    </row>
    <row r="12" spans="1:14" x14ac:dyDescent="0.35">
      <c r="L12" s="4">
        <v>1420</v>
      </c>
      <c r="M12" s="5">
        <v>3377</v>
      </c>
      <c r="N12" s="6" t="s">
        <v>100</v>
      </c>
    </row>
    <row r="13" spans="1:14" x14ac:dyDescent="0.35">
      <c r="L13" s="4">
        <v>1420</v>
      </c>
      <c r="M13" s="5">
        <v>3378</v>
      </c>
      <c r="N13" s="6" t="s">
        <v>102</v>
      </c>
    </row>
    <row r="14" spans="1:14" x14ac:dyDescent="0.35">
      <c r="L14" s="4">
        <v>1420</v>
      </c>
      <c r="M14" s="5">
        <v>3379</v>
      </c>
      <c r="N14" s="6" t="s">
        <v>104</v>
      </c>
    </row>
    <row r="15" spans="1:14" x14ac:dyDescent="0.35">
      <c r="L15" s="4">
        <v>1420</v>
      </c>
      <c r="M15" s="5">
        <v>3380</v>
      </c>
      <c r="N15" s="6" t="s">
        <v>106</v>
      </c>
    </row>
    <row r="16" spans="1:14" x14ac:dyDescent="0.35">
      <c r="L16" s="4">
        <v>1420</v>
      </c>
      <c r="M16" s="5">
        <v>3381</v>
      </c>
      <c r="N16" s="6" t="s">
        <v>108</v>
      </c>
    </row>
    <row r="17" spans="12:14" x14ac:dyDescent="0.35">
      <c r="L17" s="4">
        <v>1420</v>
      </c>
      <c r="M17" s="5">
        <v>3382</v>
      </c>
      <c r="N17" s="6" t="s">
        <v>110</v>
      </c>
    </row>
    <row r="18" spans="12:14" x14ac:dyDescent="0.35">
      <c r="L18" s="4">
        <v>1410</v>
      </c>
      <c r="M18" s="5">
        <v>3012</v>
      </c>
      <c r="N18" s="1" t="s">
        <v>533</v>
      </c>
    </row>
    <row r="19" spans="12:14" x14ac:dyDescent="0.35">
      <c r="L19" s="4">
        <v>1420</v>
      </c>
      <c r="M19" s="5">
        <v>3014</v>
      </c>
      <c r="N19" s="1" t="s">
        <v>535</v>
      </c>
    </row>
    <row r="20" spans="12:14" x14ac:dyDescent="0.35">
      <c r="L20" s="4">
        <v>1420</v>
      </c>
      <c r="M20" s="5">
        <v>3368</v>
      </c>
      <c r="N20" s="1" t="s">
        <v>537</v>
      </c>
    </row>
    <row r="21" spans="12:14" x14ac:dyDescent="0.35">
      <c r="L21" s="4" t="s">
        <v>542</v>
      </c>
      <c r="M21" s="5">
        <v>3005</v>
      </c>
      <c r="N21" s="1" t="s">
        <v>539</v>
      </c>
    </row>
    <row r="22" spans="12:14" x14ac:dyDescent="0.35">
      <c r="L22" s="4">
        <v>1520</v>
      </c>
      <c r="M22" s="5">
        <v>3369</v>
      </c>
      <c r="N22" s="1" t="s">
        <v>541</v>
      </c>
    </row>
  </sheetData>
  <mergeCells count="7">
    <mergeCell ref="I7:I8"/>
    <mergeCell ref="B7:B8"/>
    <mergeCell ref="C7:C8"/>
    <mergeCell ref="D7:D8"/>
    <mergeCell ref="E7:E8"/>
    <mergeCell ref="G7:G8"/>
    <mergeCell ref="H7:H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B5A81-F690-4DE9-9F25-74F55CDBE5D9}">
  <dimension ref="A1:B20"/>
  <sheetViews>
    <sheetView workbookViewId="0">
      <selection activeCell="B36" sqref="B36"/>
    </sheetView>
  </sheetViews>
  <sheetFormatPr defaultRowHeight="14.5" x14ac:dyDescent="0.35"/>
  <cols>
    <col min="1" max="1" width="17.453125" bestFit="1" customWidth="1"/>
    <col min="2" max="2" width="91.26953125" bestFit="1" customWidth="1"/>
  </cols>
  <sheetData>
    <row r="1" spans="1:2" x14ac:dyDescent="0.35">
      <c r="A1" s="2" t="s">
        <v>18</v>
      </c>
    </row>
    <row r="2" spans="1:2" x14ac:dyDescent="0.35">
      <c r="A2" t="s">
        <v>19</v>
      </c>
    </row>
    <row r="3" spans="1:2" x14ac:dyDescent="0.35">
      <c r="A3" t="s">
        <v>20</v>
      </c>
    </row>
    <row r="5" spans="1:2" x14ac:dyDescent="0.35">
      <c r="A5" s="2" t="s">
        <v>25</v>
      </c>
    </row>
    <row r="6" spans="1:2" x14ac:dyDescent="0.35">
      <c r="B6" t="s">
        <v>21</v>
      </c>
    </row>
    <row r="7" spans="1:2" x14ac:dyDescent="0.35">
      <c r="B7" t="s">
        <v>22</v>
      </c>
    </row>
    <row r="8" spans="1:2" x14ac:dyDescent="0.35">
      <c r="B8" t="s">
        <v>23</v>
      </c>
    </row>
    <row r="9" spans="1:2" x14ac:dyDescent="0.35">
      <c r="B9" t="s">
        <v>24</v>
      </c>
    </row>
    <row r="11" spans="1:2" x14ac:dyDescent="0.35">
      <c r="A11" s="2" t="s">
        <v>36</v>
      </c>
      <c r="B11" t="s">
        <v>26</v>
      </c>
    </row>
    <row r="12" spans="1:2" x14ac:dyDescent="0.35">
      <c r="B12" t="s">
        <v>27</v>
      </c>
    </row>
    <row r="13" spans="1:2" x14ac:dyDescent="0.35">
      <c r="B13" t="s">
        <v>28</v>
      </c>
    </row>
    <row r="14" spans="1:2" x14ac:dyDescent="0.35">
      <c r="B14" t="s">
        <v>29</v>
      </c>
    </row>
    <row r="15" spans="1:2" x14ac:dyDescent="0.35">
      <c r="B15" t="s">
        <v>30</v>
      </c>
    </row>
    <row r="16" spans="1:2" x14ac:dyDescent="0.35">
      <c r="B16" t="s">
        <v>31</v>
      </c>
    </row>
    <row r="17" spans="2:2" x14ac:dyDescent="0.35">
      <c r="B17" t="s">
        <v>32</v>
      </c>
    </row>
    <row r="18" spans="2:2" x14ac:dyDescent="0.35">
      <c r="B18" t="s">
        <v>33</v>
      </c>
    </row>
    <row r="19" spans="2:2" x14ac:dyDescent="0.35">
      <c r="B19" t="s">
        <v>34</v>
      </c>
    </row>
    <row r="20" spans="2:2" x14ac:dyDescent="0.35">
      <c r="B20" t="s">
        <v>35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EDBAA-A205-4BEB-8245-B6713B387B6B}">
  <dimension ref="A1:C28"/>
  <sheetViews>
    <sheetView workbookViewId="0">
      <selection activeCell="C29" sqref="C29"/>
    </sheetView>
  </sheetViews>
  <sheetFormatPr defaultRowHeight="14.5" x14ac:dyDescent="0.35"/>
  <cols>
    <col min="1" max="1" width="22.54296875" customWidth="1"/>
    <col min="2" max="2" width="43.1796875" customWidth="1"/>
    <col min="3" max="3" width="195.81640625" customWidth="1"/>
  </cols>
  <sheetData>
    <row r="1" spans="1:3" ht="24.75" customHeight="1" x14ac:dyDescent="0.35">
      <c r="A1" s="129" t="s">
        <v>168</v>
      </c>
      <c r="B1" s="129"/>
      <c r="C1" s="129"/>
    </row>
    <row r="2" spans="1:3" ht="16.5" x14ac:dyDescent="0.35">
      <c r="A2" s="19" t="s">
        <v>118</v>
      </c>
      <c r="B2" s="19" t="s">
        <v>117</v>
      </c>
      <c r="C2" s="19" t="s">
        <v>119</v>
      </c>
    </row>
    <row r="3" spans="1:3" ht="16.5" x14ac:dyDescent="0.35">
      <c r="A3" s="21"/>
      <c r="B3" s="20" t="s">
        <v>120</v>
      </c>
      <c r="C3" s="21"/>
    </row>
    <row r="4" spans="1:3" ht="16.5" x14ac:dyDescent="0.35">
      <c r="A4" s="21" t="s">
        <v>122</v>
      </c>
      <c r="B4" s="21" t="s">
        <v>121</v>
      </c>
      <c r="C4" s="21" t="s">
        <v>123</v>
      </c>
    </row>
    <row r="5" spans="1:3" ht="16.5" x14ac:dyDescent="0.35">
      <c r="A5" s="21" t="s">
        <v>122</v>
      </c>
      <c r="B5" s="21" t="s">
        <v>124</v>
      </c>
      <c r="C5" s="21" t="s">
        <v>125</v>
      </c>
    </row>
    <row r="6" spans="1:3" ht="16.5" x14ac:dyDescent="0.35">
      <c r="A6" s="21" t="s">
        <v>122</v>
      </c>
      <c r="B6" s="21" t="s">
        <v>126</v>
      </c>
      <c r="C6" s="21" t="s">
        <v>127</v>
      </c>
    </row>
    <row r="7" spans="1:3" ht="16.5" x14ac:dyDescent="0.35">
      <c r="A7" s="21" t="s">
        <v>129</v>
      </c>
      <c r="B7" s="21" t="s">
        <v>128</v>
      </c>
      <c r="C7" s="21" t="s">
        <v>130</v>
      </c>
    </row>
    <row r="8" spans="1:3" ht="16.5" x14ac:dyDescent="0.35">
      <c r="A8" s="21"/>
      <c r="B8" s="20" t="s">
        <v>131</v>
      </c>
      <c r="C8" s="21"/>
    </row>
    <row r="9" spans="1:3" ht="16.5" x14ac:dyDescent="0.35">
      <c r="A9" s="21" t="s">
        <v>133</v>
      </c>
      <c r="B9" s="21" t="s">
        <v>132</v>
      </c>
      <c r="C9" s="21" t="s">
        <v>167</v>
      </c>
    </row>
    <row r="10" spans="1:3" ht="16.5" x14ac:dyDescent="0.35">
      <c r="A10" s="21" t="s">
        <v>166</v>
      </c>
      <c r="B10" s="21" t="s">
        <v>134</v>
      </c>
      <c r="C10" s="21" t="s">
        <v>135</v>
      </c>
    </row>
    <row r="11" spans="1:3" ht="16.5" x14ac:dyDescent="0.35">
      <c r="A11" s="21" t="s">
        <v>166</v>
      </c>
      <c r="B11" s="21" t="s">
        <v>136</v>
      </c>
      <c r="C11" s="21" t="s">
        <v>137</v>
      </c>
    </row>
    <row r="12" spans="1:3" ht="16.5" x14ac:dyDescent="0.35">
      <c r="A12" s="21" t="s">
        <v>166</v>
      </c>
      <c r="B12" s="21" t="s">
        <v>138</v>
      </c>
      <c r="C12" s="21" t="s">
        <v>139</v>
      </c>
    </row>
    <row r="13" spans="1:3" ht="16.5" x14ac:dyDescent="0.35">
      <c r="A13" s="21" t="s">
        <v>166</v>
      </c>
      <c r="B13" s="21" t="s">
        <v>140</v>
      </c>
      <c r="C13" s="21" t="s">
        <v>141</v>
      </c>
    </row>
    <row r="14" spans="1:3" ht="16.5" x14ac:dyDescent="0.35">
      <c r="A14" s="21" t="s">
        <v>166</v>
      </c>
      <c r="B14" s="21" t="s">
        <v>142</v>
      </c>
      <c r="C14" s="21" t="s">
        <v>143</v>
      </c>
    </row>
    <row r="15" spans="1:3" ht="16.5" x14ac:dyDescent="0.35">
      <c r="A15" s="21" t="s">
        <v>129</v>
      </c>
      <c r="B15" s="21" t="s">
        <v>144</v>
      </c>
      <c r="C15" s="21" t="s">
        <v>145</v>
      </c>
    </row>
    <row r="16" spans="1:3" ht="16.5" x14ac:dyDescent="0.35">
      <c r="A16" s="21" t="s">
        <v>147</v>
      </c>
      <c r="B16" s="21" t="s">
        <v>146</v>
      </c>
      <c r="C16" s="21" t="s">
        <v>148</v>
      </c>
    </row>
    <row r="17" spans="1:3" ht="16.5" x14ac:dyDescent="0.35">
      <c r="A17" s="21" t="s">
        <v>150</v>
      </c>
      <c r="B17" s="21" t="s">
        <v>149</v>
      </c>
      <c r="C17" s="21" t="s">
        <v>151</v>
      </c>
    </row>
    <row r="18" spans="1:3" ht="16.5" x14ac:dyDescent="0.35">
      <c r="A18" s="21" t="s">
        <v>152</v>
      </c>
      <c r="B18" s="21" t="s">
        <v>16</v>
      </c>
      <c r="C18" s="21" t="s">
        <v>153</v>
      </c>
    </row>
    <row r="19" spans="1:3" ht="16.5" x14ac:dyDescent="0.35">
      <c r="A19" s="21" t="s">
        <v>152</v>
      </c>
      <c r="B19" s="21" t="s">
        <v>17</v>
      </c>
      <c r="C19" s="21" t="s">
        <v>154</v>
      </c>
    </row>
    <row r="20" spans="1:3" ht="16.5" x14ac:dyDescent="0.35">
      <c r="A20" s="21" t="s">
        <v>129</v>
      </c>
      <c r="B20" s="21" t="s">
        <v>155</v>
      </c>
      <c r="C20" s="21" t="s">
        <v>156</v>
      </c>
    </row>
    <row r="21" spans="1:3" ht="16.5" x14ac:dyDescent="0.35">
      <c r="A21" s="21"/>
      <c r="B21" s="20" t="s">
        <v>157</v>
      </c>
      <c r="C21" s="21"/>
    </row>
    <row r="22" spans="1:3" ht="16.5" x14ac:dyDescent="0.35">
      <c r="A22" s="21" t="s">
        <v>129</v>
      </c>
      <c r="B22" s="21" t="s">
        <v>158</v>
      </c>
      <c r="C22" s="21" t="s">
        <v>159</v>
      </c>
    </row>
    <row r="23" spans="1:3" ht="16.5" x14ac:dyDescent="0.35">
      <c r="A23" s="21" t="s">
        <v>129</v>
      </c>
      <c r="B23" s="21" t="s">
        <v>160</v>
      </c>
      <c r="C23" s="21" t="s">
        <v>161</v>
      </c>
    </row>
    <row r="24" spans="1:3" ht="16.5" x14ac:dyDescent="0.35">
      <c r="A24" s="21"/>
      <c r="B24" s="21" t="s">
        <v>162</v>
      </c>
      <c r="C24" s="21" t="s">
        <v>163</v>
      </c>
    </row>
    <row r="25" spans="1:3" ht="16.5" x14ac:dyDescent="0.35">
      <c r="A25" s="21" t="s">
        <v>166</v>
      </c>
      <c r="B25" s="21" t="s">
        <v>164</v>
      </c>
      <c r="C25" s="21" t="s">
        <v>165</v>
      </c>
    </row>
    <row r="27" spans="1:3" x14ac:dyDescent="0.35">
      <c r="B27" s="17"/>
    </row>
    <row r="28" spans="1:3" ht="16.5" x14ac:dyDescent="0.35">
      <c r="B28" s="18"/>
    </row>
  </sheetData>
  <mergeCells count="1">
    <mergeCell ref="A1:C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5F8BB-BCD3-402B-9348-761ECE121372}">
  <dimension ref="A1:J21"/>
  <sheetViews>
    <sheetView topLeftCell="A25" zoomScaleNormal="100" workbookViewId="0">
      <selection activeCell="C29" sqref="C29"/>
    </sheetView>
  </sheetViews>
  <sheetFormatPr defaultColWidth="55.81640625" defaultRowHeight="21" x14ac:dyDescent="0.5"/>
  <cols>
    <col min="1" max="1" width="13.54296875" style="14" customWidth="1"/>
    <col min="2" max="2" width="91.54296875" style="11" customWidth="1"/>
    <col min="3" max="3" width="30.7265625" style="11" customWidth="1"/>
    <col min="4" max="4" width="14.54296875" style="11" customWidth="1"/>
    <col min="5" max="5" width="24.453125" style="11" customWidth="1"/>
    <col min="6" max="6" width="28.1796875" style="11" customWidth="1"/>
    <col min="7" max="7" width="32.7265625" style="11" customWidth="1"/>
    <col min="8" max="8" width="18.453125" style="11" customWidth="1"/>
    <col min="9" max="9" width="45.81640625" style="11" customWidth="1"/>
    <col min="10" max="10" width="28.453125" style="14" customWidth="1"/>
    <col min="11" max="16384" width="55.81640625" style="11"/>
  </cols>
  <sheetData>
    <row r="1" spans="1:10" x14ac:dyDescent="0.5">
      <c r="A1" s="10" t="s">
        <v>61</v>
      </c>
      <c r="B1" s="15" t="s">
        <v>52</v>
      </c>
      <c r="C1" s="15" t="s">
        <v>55</v>
      </c>
      <c r="D1" s="15" t="s">
        <v>58</v>
      </c>
      <c r="E1" s="15" t="s">
        <v>15</v>
      </c>
      <c r="F1" s="15" t="s">
        <v>54</v>
      </c>
      <c r="G1" s="15" t="s">
        <v>53</v>
      </c>
      <c r="H1" s="15" t="s">
        <v>64</v>
      </c>
      <c r="I1" s="15" t="s">
        <v>9</v>
      </c>
      <c r="J1" s="16" t="s">
        <v>87</v>
      </c>
    </row>
    <row r="2" spans="1:10" x14ac:dyDescent="0.5">
      <c r="A2" s="12">
        <v>1</v>
      </c>
      <c r="B2" s="13" t="s">
        <v>47</v>
      </c>
      <c r="C2" s="12" t="s">
        <v>56</v>
      </c>
      <c r="D2" s="12"/>
      <c r="E2" s="12" t="s">
        <v>60</v>
      </c>
      <c r="F2" s="12" t="s">
        <v>57</v>
      </c>
      <c r="G2" s="12" t="s">
        <v>57</v>
      </c>
      <c r="H2" s="12"/>
      <c r="I2" s="13"/>
      <c r="J2" s="12"/>
    </row>
    <row r="3" spans="1:10" x14ac:dyDescent="0.5">
      <c r="A3" s="12">
        <v>2</v>
      </c>
      <c r="B3" s="13" t="s">
        <v>62</v>
      </c>
      <c r="C3" s="12" t="s">
        <v>56</v>
      </c>
      <c r="D3" s="12"/>
      <c r="E3" s="12" t="s">
        <v>60</v>
      </c>
      <c r="F3" s="12" t="s">
        <v>56</v>
      </c>
      <c r="G3" s="12" t="s">
        <v>81</v>
      </c>
      <c r="H3" s="12"/>
      <c r="I3" s="13" t="s">
        <v>80</v>
      </c>
      <c r="J3" s="12" t="s">
        <v>56</v>
      </c>
    </row>
    <row r="4" spans="1:10" x14ac:dyDescent="0.5">
      <c r="A4" s="12">
        <v>3</v>
      </c>
      <c r="B4" s="13" t="s">
        <v>71</v>
      </c>
      <c r="C4" s="12" t="s">
        <v>56</v>
      </c>
      <c r="D4" s="12"/>
      <c r="E4" s="12" t="s">
        <v>60</v>
      </c>
      <c r="F4" s="12" t="s">
        <v>57</v>
      </c>
      <c r="G4" s="12"/>
      <c r="H4" s="12"/>
      <c r="I4" s="13"/>
      <c r="J4" s="12"/>
    </row>
    <row r="5" spans="1:10" x14ac:dyDescent="0.5">
      <c r="A5" s="12">
        <v>4</v>
      </c>
      <c r="B5" s="13" t="s">
        <v>38</v>
      </c>
      <c r="C5" s="12" t="s">
        <v>57</v>
      </c>
      <c r="D5" s="12" t="s">
        <v>57</v>
      </c>
      <c r="E5" s="12" t="s">
        <v>63</v>
      </c>
      <c r="F5" s="12" t="s">
        <v>57</v>
      </c>
      <c r="G5" s="12"/>
      <c r="H5" s="12"/>
      <c r="I5" s="13"/>
      <c r="J5" s="12"/>
    </row>
    <row r="6" spans="1:10" x14ac:dyDescent="0.5">
      <c r="A6" s="12">
        <v>5</v>
      </c>
      <c r="B6" s="13" t="s">
        <v>50</v>
      </c>
      <c r="C6" s="12" t="s">
        <v>57</v>
      </c>
      <c r="D6" s="12" t="s">
        <v>57</v>
      </c>
      <c r="E6" s="12" t="s">
        <v>68</v>
      </c>
      <c r="F6" s="12" t="s">
        <v>56</v>
      </c>
      <c r="G6" s="12" t="s">
        <v>57</v>
      </c>
      <c r="H6" s="12" t="s">
        <v>79</v>
      </c>
      <c r="I6" s="13"/>
      <c r="J6" s="12" t="s">
        <v>56</v>
      </c>
    </row>
    <row r="7" spans="1:10" x14ac:dyDescent="0.5">
      <c r="A7" s="12">
        <v>6</v>
      </c>
      <c r="B7" s="13" t="s">
        <v>49</v>
      </c>
      <c r="C7" s="12" t="s">
        <v>57</v>
      </c>
      <c r="D7" s="12"/>
      <c r="E7" s="12" t="s">
        <v>60</v>
      </c>
      <c r="F7" s="12" t="s">
        <v>56</v>
      </c>
      <c r="G7" s="12" t="s">
        <v>57</v>
      </c>
      <c r="H7" s="12" t="s">
        <v>82</v>
      </c>
      <c r="I7" s="13" t="s">
        <v>86</v>
      </c>
      <c r="J7" s="12" t="s">
        <v>56</v>
      </c>
    </row>
    <row r="8" spans="1:10" x14ac:dyDescent="0.5">
      <c r="A8" s="12">
        <v>7</v>
      </c>
      <c r="B8" s="13" t="s">
        <v>48</v>
      </c>
      <c r="C8" s="12" t="s">
        <v>56</v>
      </c>
      <c r="D8" s="12"/>
      <c r="E8" s="12" t="s">
        <v>60</v>
      </c>
      <c r="F8" s="12" t="s">
        <v>57</v>
      </c>
      <c r="G8" s="12"/>
      <c r="H8" s="12"/>
      <c r="I8" s="13" t="s">
        <v>72</v>
      </c>
      <c r="J8" s="12"/>
    </row>
    <row r="9" spans="1:10" x14ac:dyDescent="0.5">
      <c r="A9" s="12">
        <v>8</v>
      </c>
      <c r="B9" s="13" t="s">
        <v>42</v>
      </c>
      <c r="C9" s="12" t="s">
        <v>56</v>
      </c>
      <c r="D9" s="12"/>
      <c r="E9" s="12" t="s">
        <v>66</v>
      </c>
      <c r="F9" s="12" t="s">
        <v>56</v>
      </c>
      <c r="G9" s="12" t="s">
        <v>57</v>
      </c>
      <c r="H9" s="12" t="s">
        <v>79</v>
      </c>
      <c r="I9" s="13" t="s">
        <v>73</v>
      </c>
      <c r="J9" s="12" t="s">
        <v>56</v>
      </c>
    </row>
    <row r="10" spans="1:10" x14ac:dyDescent="0.5">
      <c r="A10" s="12">
        <v>9</v>
      </c>
      <c r="B10" s="13" t="s">
        <v>51</v>
      </c>
      <c r="C10" s="12" t="s">
        <v>57</v>
      </c>
      <c r="D10" s="12" t="s">
        <v>57</v>
      </c>
      <c r="E10" s="12" t="s">
        <v>65</v>
      </c>
      <c r="F10" s="12" t="s">
        <v>57</v>
      </c>
      <c r="G10" s="12"/>
      <c r="H10" s="12"/>
      <c r="I10" s="13"/>
      <c r="J10" s="12"/>
    </row>
    <row r="11" spans="1:10" x14ac:dyDescent="0.5">
      <c r="A11" s="12">
        <v>10</v>
      </c>
      <c r="B11" s="13" t="s">
        <v>84</v>
      </c>
      <c r="C11" s="12" t="s">
        <v>57</v>
      </c>
      <c r="D11" s="12"/>
      <c r="E11" s="12" t="s">
        <v>65</v>
      </c>
      <c r="F11" s="12" t="s">
        <v>56</v>
      </c>
      <c r="G11" s="12" t="s">
        <v>57</v>
      </c>
      <c r="H11" s="12" t="s">
        <v>82</v>
      </c>
      <c r="I11" s="13" t="s">
        <v>83</v>
      </c>
      <c r="J11" s="12" t="s">
        <v>56</v>
      </c>
    </row>
    <row r="12" spans="1:10" x14ac:dyDescent="0.5">
      <c r="A12" s="12">
        <v>11</v>
      </c>
      <c r="B12" s="13" t="s">
        <v>39</v>
      </c>
      <c r="C12" s="12" t="s">
        <v>57</v>
      </c>
      <c r="D12" s="12" t="s">
        <v>57</v>
      </c>
      <c r="E12" s="12" t="s">
        <v>65</v>
      </c>
      <c r="F12" s="12" t="s">
        <v>57</v>
      </c>
      <c r="G12" s="12"/>
      <c r="H12" s="12"/>
      <c r="I12" s="13"/>
      <c r="J12" s="12"/>
    </row>
    <row r="13" spans="1:10" x14ac:dyDescent="0.5">
      <c r="A13" s="12">
        <v>12</v>
      </c>
      <c r="B13" s="13" t="s">
        <v>40</v>
      </c>
      <c r="C13" s="12" t="s">
        <v>57</v>
      </c>
      <c r="D13" s="12" t="s">
        <v>57</v>
      </c>
      <c r="E13" s="12" t="s">
        <v>65</v>
      </c>
      <c r="F13" s="12" t="s">
        <v>56</v>
      </c>
      <c r="G13" s="12" t="s">
        <v>57</v>
      </c>
      <c r="H13" s="12" t="s">
        <v>79</v>
      </c>
      <c r="I13" s="13" t="s">
        <v>74</v>
      </c>
      <c r="J13" s="12" t="s">
        <v>56</v>
      </c>
    </row>
    <row r="14" spans="1:10" x14ac:dyDescent="0.5">
      <c r="A14" s="12">
        <v>13</v>
      </c>
      <c r="B14" s="13" t="s">
        <v>43</v>
      </c>
      <c r="C14" s="12" t="s">
        <v>57</v>
      </c>
      <c r="D14" s="12"/>
      <c r="E14" s="12" t="s">
        <v>65</v>
      </c>
      <c r="F14" s="12" t="s">
        <v>57</v>
      </c>
      <c r="G14" s="12"/>
      <c r="H14" s="12"/>
      <c r="I14" s="13"/>
      <c r="J14" s="12"/>
    </row>
    <row r="15" spans="1:10" x14ac:dyDescent="0.5">
      <c r="A15" s="12">
        <v>14</v>
      </c>
      <c r="B15" s="13" t="s">
        <v>44</v>
      </c>
      <c r="C15" s="12" t="s">
        <v>57</v>
      </c>
      <c r="D15" s="12" t="s">
        <v>57</v>
      </c>
      <c r="E15" s="12" t="s">
        <v>69</v>
      </c>
      <c r="F15" s="12" t="s">
        <v>57</v>
      </c>
      <c r="G15" s="12"/>
      <c r="H15" s="12"/>
      <c r="I15" s="13"/>
      <c r="J15" s="12"/>
    </row>
    <row r="16" spans="1:10" x14ac:dyDescent="0.5">
      <c r="A16" s="12">
        <v>15</v>
      </c>
      <c r="B16" s="13" t="s">
        <v>75</v>
      </c>
      <c r="C16" s="12" t="s">
        <v>57</v>
      </c>
      <c r="D16" s="12"/>
      <c r="E16" s="12" t="s">
        <v>65</v>
      </c>
      <c r="F16" s="12" t="s">
        <v>56</v>
      </c>
      <c r="G16" s="12" t="s">
        <v>57</v>
      </c>
      <c r="H16" s="12" t="s">
        <v>79</v>
      </c>
      <c r="I16" s="13" t="s">
        <v>85</v>
      </c>
      <c r="J16" s="12" t="s">
        <v>56</v>
      </c>
    </row>
    <row r="17" spans="1:10" x14ac:dyDescent="0.5">
      <c r="A17" s="12">
        <v>16</v>
      </c>
      <c r="B17" s="13" t="s">
        <v>45</v>
      </c>
      <c r="C17" s="12" t="s">
        <v>57</v>
      </c>
      <c r="D17" s="12"/>
      <c r="E17" s="12" t="s">
        <v>65</v>
      </c>
      <c r="F17" s="12" t="s">
        <v>56</v>
      </c>
      <c r="G17" s="12" t="s">
        <v>56</v>
      </c>
      <c r="H17" s="12"/>
      <c r="I17" s="13" t="s">
        <v>76</v>
      </c>
      <c r="J17" s="12" t="s">
        <v>56</v>
      </c>
    </row>
    <row r="18" spans="1:10" x14ac:dyDescent="0.5">
      <c r="A18" s="12">
        <v>17</v>
      </c>
      <c r="B18" s="13" t="s">
        <v>41</v>
      </c>
      <c r="C18" s="12" t="s">
        <v>57</v>
      </c>
      <c r="D18" s="12"/>
      <c r="E18" s="12" t="s">
        <v>65</v>
      </c>
      <c r="F18" s="12" t="s">
        <v>56</v>
      </c>
      <c r="G18" s="12" t="s">
        <v>57</v>
      </c>
      <c r="H18" s="12" t="s">
        <v>82</v>
      </c>
      <c r="I18" s="13"/>
      <c r="J18" s="12" t="s">
        <v>56</v>
      </c>
    </row>
    <row r="19" spans="1:10" x14ac:dyDescent="0.5">
      <c r="A19" s="12">
        <v>18</v>
      </c>
      <c r="B19" s="13" t="s">
        <v>59</v>
      </c>
      <c r="C19" s="12" t="s">
        <v>57</v>
      </c>
      <c r="D19" s="12"/>
      <c r="E19" s="12" t="s">
        <v>65</v>
      </c>
      <c r="F19" s="12" t="s">
        <v>57</v>
      </c>
      <c r="G19" s="12"/>
      <c r="H19" s="12"/>
      <c r="I19" s="13" t="s">
        <v>77</v>
      </c>
      <c r="J19" s="12"/>
    </row>
    <row r="20" spans="1:10" x14ac:dyDescent="0.5">
      <c r="A20" s="12">
        <v>19</v>
      </c>
      <c r="B20" s="13" t="s">
        <v>46</v>
      </c>
      <c r="C20" s="12" t="s">
        <v>57</v>
      </c>
      <c r="D20" s="12"/>
      <c r="E20" s="12" t="s">
        <v>65</v>
      </c>
      <c r="F20" s="12" t="s">
        <v>56</v>
      </c>
      <c r="G20" s="12" t="s">
        <v>57</v>
      </c>
      <c r="H20" s="12" t="s">
        <v>79</v>
      </c>
      <c r="I20" s="13" t="s">
        <v>78</v>
      </c>
      <c r="J20" s="12" t="s">
        <v>56</v>
      </c>
    </row>
    <row r="21" spans="1:10" x14ac:dyDescent="0.5">
      <c r="A21" s="12">
        <v>20</v>
      </c>
      <c r="B21" s="13" t="s">
        <v>67</v>
      </c>
      <c r="C21" s="12" t="s">
        <v>56</v>
      </c>
      <c r="D21" s="12"/>
      <c r="E21" s="12" t="s">
        <v>70</v>
      </c>
      <c r="F21" s="12"/>
      <c r="G21" s="12"/>
      <c r="H21" s="12"/>
      <c r="I21" s="13"/>
      <c r="J21" s="12"/>
    </row>
  </sheetData>
  <autoFilter ref="A1:J21" xr:uid="{0515F8BB-BCD3-402B-9348-761ECE12137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8B9CD-E80F-42B9-B03F-8858B9860A26}">
  <dimension ref="A1:I45"/>
  <sheetViews>
    <sheetView topLeftCell="A13" workbookViewId="0">
      <selection activeCell="E56" sqref="E56"/>
    </sheetView>
  </sheetViews>
  <sheetFormatPr defaultRowHeight="14.5" x14ac:dyDescent="0.35"/>
  <cols>
    <col min="1" max="1" width="14.26953125" style="37" customWidth="1"/>
    <col min="2" max="2" width="27.453125" style="38" bestFit="1" customWidth="1"/>
    <col min="3" max="3" width="46.54296875" style="37" customWidth="1"/>
    <col min="4" max="4" width="27.26953125" style="37" customWidth="1"/>
    <col min="5" max="5" width="30.54296875" style="37" customWidth="1"/>
    <col min="6" max="6" width="39.26953125" style="37" customWidth="1"/>
    <col min="7" max="7" width="17.7265625" style="37" customWidth="1"/>
    <col min="8" max="8" width="26.1796875" style="37" customWidth="1"/>
    <col min="9" max="9" width="63.453125" style="38" customWidth="1"/>
  </cols>
  <sheetData>
    <row r="1" spans="1:9" x14ac:dyDescent="0.35">
      <c r="A1" s="34" t="s">
        <v>235</v>
      </c>
      <c r="B1" s="35" t="s">
        <v>236</v>
      </c>
      <c r="C1" s="34" t="s">
        <v>173</v>
      </c>
      <c r="D1" s="34" t="s">
        <v>237</v>
      </c>
      <c r="E1" s="34" t="s">
        <v>238</v>
      </c>
      <c r="F1" s="34" t="s">
        <v>239</v>
      </c>
      <c r="G1" s="34" t="s">
        <v>240</v>
      </c>
      <c r="H1" s="34" t="s">
        <v>241</v>
      </c>
      <c r="I1" s="35" t="s">
        <v>9</v>
      </c>
    </row>
    <row r="2" spans="1:9" x14ac:dyDescent="0.35">
      <c r="A2" s="36">
        <v>1</v>
      </c>
      <c r="B2" s="36" t="s">
        <v>242</v>
      </c>
      <c r="C2" s="36" t="s">
        <v>243</v>
      </c>
      <c r="D2" s="36" t="s">
        <v>244</v>
      </c>
      <c r="E2" s="36" t="s">
        <v>245</v>
      </c>
      <c r="F2" s="36">
        <v>4500103931</v>
      </c>
      <c r="G2" s="36" t="s">
        <v>246</v>
      </c>
      <c r="H2" s="36" t="s">
        <v>247</v>
      </c>
      <c r="I2" s="37"/>
    </row>
    <row r="3" spans="1:9" x14ac:dyDescent="0.35">
      <c r="A3" s="36">
        <v>2</v>
      </c>
      <c r="B3" s="36" t="s">
        <v>248</v>
      </c>
      <c r="C3" s="36" t="s">
        <v>249</v>
      </c>
      <c r="D3" s="36" t="s">
        <v>250</v>
      </c>
      <c r="E3" s="36" t="s">
        <v>245</v>
      </c>
      <c r="F3" s="36">
        <v>4500103931</v>
      </c>
      <c r="G3" s="36" t="s">
        <v>251</v>
      </c>
      <c r="H3" s="36" t="s">
        <v>247</v>
      </c>
      <c r="I3" s="37"/>
    </row>
    <row r="4" spans="1:9" x14ac:dyDescent="0.35">
      <c r="A4" s="36">
        <v>3</v>
      </c>
      <c r="B4" s="36" t="s">
        <v>248</v>
      </c>
      <c r="C4" s="36" t="s">
        <v>249</v>
      </c>
      <c r="D4" s="36" t="s">
        <v>250</v>
      </c>
      <c r="E4" s="36" t="s">
        <v>245</v>
      </c>
      <c r="F4" s="36">
        <v>4500103939</v>
      </c>
      <c r="G4" s="36" t="s">
        <v>251</v>
      </c>
      <c r="H4" s="36" t="s">
        <v>247</v>
      </c>
      <c r="I4" s="37"/>
    </row>
    <row r="5" spans="1:9" x14ac:dyDescent="0.35">
      <c r="A5" s="36">
        <v>4</v>
      </c>
      <c r="B5" s="36" t="s">
        <v>248</v>
      </c>
      <c r="C5" s="36" t="s">
        <v>249</v>
      </c>
      <c r="D5" s="36" t="s">
        <v>250</v>
      </c>
      <c r="E5" s="36" t="s">
        <v>245</v>
      </c>
      <c r="F5" s="36">
        <v>4500103940</v>
      </c>
      <c r="G5" s="36" t="s">
        <v>251</v>
      </c>
      <c r="H5" s="36" t="s">
        <v>247</v>
      </c>
      <c r="I5" s="37"/>
    </row>
    <row r="6" spans="1:9" x14ac:dyDescent="0.35">
      <c r="A6" s="36">
        <v>5</v>
      </c>
      <c r="B6" s="36" t="s">
        <v>248</v>
      </c>
      <c r="C6" s="36" t="s">
        <v>249</v>
      </c>
      <c r="D6" s="36" t="s">
        <v>250</v>
      </c>
      <c r="E6" s="36" t="s">
        <v>245</v>
      </c>
      <c r="F6" s="36">
        <v>4500103944</v>
      </c>
      <c r="G6" s="36" t="s">
        <v>251</v>
      </c>
      <c r="H6" s="36" t="s">
        <v>247</v>
      </c>
      <c r="I6" s="37"/>
    </row>
    <row r="7" spans="1:9" x14ac:dyDescent="0.35">
      <c r="A7" s="36">
        <v>6</v>
      </c>
      <c r="B7" s="36" t="s">
        <v>252</v>
      </c>
      <c r="C7" s="36" t="s">
        <v>253</v>
      </c>
      <c r="D7" s="36" t="s">
        <v>254</v>
      </c>
      <c r="E7" s="36" t="s">
        <v>245</v>
      </c>
      <c r="F7" s="36">
        <v>4500103937</v>
      </c>
      <c r="G7" s="36" t="s">
        <v>251</v>
      </c>
      <c r="H7" s="36" t="s">
        <v>247</v>
      </c>
      <c r="I7" s="37"/>
    </row>
    <row r="8" spans="1:9" x14ac:dyDescent="0.35">
      <c r="A8" s="36">
        <v>7</v>
      </c>
      <c r="B8" s="36" t="s">
        <v>252</v>
      </c>
      <c r="C8" s="36" t="s">
        <v>253</v>
      </c>
      <c r="D8" s="36" t="s">
        <v>254</v>
      </c>
      <c r="E8" s="36" t="s">
        <v>245</v>
      </c>
      <c r="F8" s="36">
        <v>4500103940</v>
      </c>
      <c r="G8" s="36" t="s">
        <v>251</v>
      </c>
      <c r="H8" s="36" t="s">
        <v>247</v>
      </c>
      <c r="I8" s="37"/>
    </row>
    <row r="9" spans="1:9" x14ac:dyDescent="0.35">
      <c r="A9" s="36">
        <v>8</v>
      </c>
      <c r="B9" s="36" t="s">
        <v>252</v>
      </c>
      <c r="C9" s="36" t="s">
        <v>253</v>
      </c>
      <c r="D9" s="36" t="s">
        <v>254</v>
      </c>
      <c r="E9" s="36" t="s">
        <v>245</v>
      </c>
      <c r="F9" s="36">
        <v>4500103941</v>
      </c>
      <c r="G9" s="36" t="s">
        <v>251</v>
      </c>
      <c r="H9" s="36" t="s">
        <v>247</v>
      </c>
      <c r="I9" s="37"/>
    </row>
    <row r="10" spans="1:9" x14ac:dyDescent="0.35">
      <c r="A10" s="36">
        <v>9</v>
      </c>
      <c r="B10" s="36" t="s">
        <v>255</v>
      </c>
      <c r="C10" s="36" t="s">
        <v>256</v>
      </c>
      <c r="D10" s="36" t="s">
        <v>257</v>
      </c>
      <c r="E10" s="36" t="s">
        <v>245</v>
      </c>
      <c r="F10" s="36">
        <v>4500103927</v>
      </c>
      <c r="G10" s="36" t="s">
        <v>251</v>
      </c>
      <c r="H10" s="36" t="s">
        <v>247</v>
      </c>
      <c r="I10" s="37"/>
    </row>
    <row r="11" spans="1:9" x14ac:dyDescent="0.35">
      <c r="A11" s="36">
        <v>10</v>
      </c>
      <c r="B11" s="36" t="s">
        <v>255</v>
      </c>
      <c r="C11" s="36" t="s">
        <v>256</v>
      </c>
      <c r="D11" s="36" t="s">
        <v>258</v>
      </c>
      <c r="E11" s="36" t="s">
        <v>245</v>
      </c>
      <c r="F11" s="36">
        <v>4500103931</v>
      </c>
      <c r="G11" s="36" t="s">
        <v>251</v>
      </c>
      <c r="H11" s="36" t="s">
        <v>247</v>
      </c>
      <c r="I11" s="37"/>
    </row>
    <row r="12" spans="1:9" x14ac:dyDescent="0.35">
      <c r="A12" s="36">
        <v>11</v>
      </c>
      <c r="B12" s="36" t="s">
        <v>255</v>
      </c>
      <c r="C12" s="36" t="s">
        <v>256</v>
      </c>
      <c r="D12" s="36" t="s">
        <v>257</v>
      </c>
      <c r="E12" s="36" t="s">
        <v>245</v>
      </c>
      <c r="F12" s="36">
        <v>4500103939</v>
      </c>
      <c r="G12" s="36" t="s">
        <v>251</v>
      </c>
      <c r="H12" s="36" t="s">
        <v>247</v>
      </c>
      <c r="I12" s="37"/>
    </row>
    <row r="13" spans="1:9" ht="290" x14ac:dyDescent="0.35">
      <c r="A13" s="37">
        <v>12</v>
      </c>
      <c r="B13" s="38" t="s">
        <v>259</v>
      </c>
      <c r="C13" s="38" t="s">
        <v>260</v>
      </c>
      <c r="D13" s="39" t="s">
        <v>261</v>
      </c>
      <c r="E13" s="38" t="s">
        <v>262</v>
      </c>
      <c r="F13" s="37" t="s">
        <v>37</v>
      </c>
      <c r="G13" s="37" t="s">
        <v>251</v>
      </c>
      <c r="H13" s="40" t="s">
        <v>263</v>
      </c>
      <c r="I13" s="38" t="s">
        <v>264</v>
      </c>
    </row>
    <row r="14" spans="1:9" ht="130.5" x14ac:dyDescent="0.35">
      <c r="A14" s="37">
        <v>13</v>
      </c>
      <c r="B14" s="38" t="s">
        <v>265</v>
      </c>
      <c r="C14" s="37" t="s">
        <v>266</v>
      </c>
      <c r="D14" s="37" t="s">
        <v>267</v>
      </c>
      <c r="E14" s="37" t="s">
        <v>245</v>
      </c>
      <c r="F14" s="37" t="s">
        <v>37</v>
      </c>
      <c r="G14" s="37" t="s">
        <v>268</v>
      </c>
      <c r="H14" s="37" t="s">
        <v>263</v>
      </c>
      <c r="I14" s="41" t="s">
        <v>269</v>
      </c>
    </row>
    <row r="15" spans="1:9" ht="87" x14ac:dyDescent="0.35">
      <c r="A15" s="37">
        <v>14</v>
      </c>
      <c r="B15" s="38" t="s">
        <v>270</v>
      </c>
      <c r="C15" s="37" t="s">
        <v>271</v>
      </c>
      <c r="D15" s="38" t="s">
        <v>272</v>
      </c>
      <c r="E15" s="37" t="s">
        <v>273</v>
      </c>
      <c r="F15" s="37" t="s">
        <v>37</v>
      </c>
      <c r="G15" s="37" t="s">
        <v>274</v>
      </c>
      <c r="H15" s="38" t="s">
        <v>263</v>
      </c>
      <c r="I15" s="42" t="s">
        <v>275</v>
      </c>
    </row>
    <row r="16" spans="1:9" ht="29" x14ac:dyDescent="0.35">
      <c r="A16" s="36">
        <v>15</v>
      </c>
      <c r="B16" s="36" t="s">
        <v>276</v>
      </c>
      <c r="C16" s="36" t="s">
        <v>277</v>
      </c>
      <c r="D16" s="36" t="s">
        <v>278</v>
      </c>
      <c r="E16" s="43" t="s">
        <v>279</v>
      </c>
      <c r="F16" s="36" t="s">
        <v>37</v>
      </c>
      <c r="G16" s="36" t="s">
        <v>280</v>
      </c>
      <c r="H16" s="36" t="s">
        <v>247</v>
      </c>
      <c r="I16" s="37"/>
    </row>
    <row r="17" spans="1:9" x14ac:dyDescent="0.35">
      <c r="A17" s="36">
        <v>17</v>
      </c>
      <c r="B17" s="36" t="s">
        <v>281</v>
      </c>
      <c r="C17" s="36" t="s">
        <v>282</v>
      </c>
      <c r="D17" s="36" t="s">
        <v>283</v>
      </c>
      <c r="E17" s="36" t="s">
        <v>273</v>
      </c>
      <c r="F17" s="36">
        <v>10103697</v>
      </c>
      <c r="G17" s="36" t="s">
        <v>251</v>
      </c>
      <c r="H17" s="36" t="s">
        <v>247</v>
      </c>
      <c r="I17" s="37"/>
    </row>
    <row r="18" spans="1:9" x14ac:dyDescent="0.35">
      <c r="A18" s="36">
        <v>19</v>
      </c>
      <c r="B18" s="36" t="s">
        <v>252</v>
      </c>
      <c r="C18" s="36" t="s">
        <v>284</v>
      </c>
      <c r="D18" s="36" t="s">
        <v>285</v>
      </c>
      <c r="E18" s="36" t="s">
        <v>245</v>
      </c>
      <c r="F18" s="36">
        <v>4500103946</v>
      </c>
      <c r="G18" s="36" t="s">
        <v>251</v>
      </c>
      <c r="H18" s="36" t="s">
        <v>247</v>
      </c>
      <c r="I18" s="37"/>
    </row>
    <row r="19" spans="1:9" x14ac:dyDescent="0.35">
      <c r="A19" s="36">
        <v>20</v>
      </c>
      <c r="B19" s="36" t="s">
        <v>252</v>
      </c>
      <c r="C19" s="36" t="s">
        <v>284</v>
      </c>
      <c r="D19" s="36" t="s">
        <v>285</v>
      </c>
      <c r="E19" s="36" t="s">
        <v>245</v>
      </c>
      <c r="F19" s="44">
        <v>4500103950</v>
      </c>
      <c r="G19" s="36" t="s">
        <v>251</v>
      </c>
      <c r="H19" s="36" t="s">
        <v>247</v>
      </c>
      <c r="I19" s="37"/>
    </row>
    <row r="20" spans="1:9" x14ac:dyDescent="0.35">
      <c r="A20" s="36">
        <v>21</v>
      </c>
      <c r="B20" s="36" t="s">
        <v>252</v>
      </c>
      <c r="C20" s="36" t="s">
        <v>284</v>
      </c>
      <c r="D20" s="36" t="s">
        <v>285</v>
      </c>
      <c r="E20" s="36" t="s">
        <v>245</v>
      </c>
      <c r="F20" s="44" t="s">
        <v>286</v>
      </c>
      <c r="G20" s="36" t="s">
        <v>251</v>
      </c>
      <c r="H20" s="36" t="s">
        <v>247</v>
      </c>
      <c r="I20" s="37"/>
    </row>
    <row r="21" spans="1:9" x14ac:dyDescent="0.35">
      <c r="A21" s="36">
        <v>22</v>
      </c>
      <c r="B21" s="36" t="s">
        <v>252</v>
      </c>
      <c r="C21" s="36" t="s">
        <v>284</v>
      </c>
      <c r="D21" s="36" t="s">
        <v>285</v>
      </c>
      <c r="E21" s="36" t="s">
        <v>245</v>
      </c>
      <c r="F21" s="44">
        <v>4500103939</v>
      </c>
      <c r="G21" s="36" t="s">
        <v>251</v>
      </c>
      <c r="H21" s="36" t="s">
        <v>247</v>
      </c>
      <c r="I21" s="37"/>
    </row>
    <row r="22" spans="1:9" x14ac:dyDescent="0.35">
      <c r="A22" s="36">
        <v>23</v>
      </c>
      <c r="B22" s="36" t="s">
        <v>252</v>
      </c>
      <c r="C22" s="36" t="s">
        <v>284</v>
      </c>
      <c r="D22" s="36" t="s">
        <v>285</v>
      </c>
      <c r="E22" s="36" t="s">
        <v>245</v>
      </c>
      <c r="F22" s="44">
        <v>4500103945</v>
      </c>
      <c r="G22" s="36" t="s">
        <v>251</v>
      </c>
      <c r="H22" s="36" t="s">
        <v>247</v>
      </c>
      <c r="I22" s="37"/>
    </row>
    <row r="23" spans="1:9" x14ac:dyDescent="0.35">
      <c r="A23" s="36">
        <v>24</v>
      </c>
      <c r="B23" s="36" t="s">
        <v>252</v>
      </c>
      <c r="C23" s="36" t="s">
        <v>284</v>
      </c>
      <c r="D23" s="36" t="s">
        <v>285</v>
      </c>
      <c r="E23" s="36" t="s">
        <v>245</v>
      </c>
      <c r="F23" s="36">
        <v>4500103931</v>
      </c>
      <c r="G23" s="36" t="s">
        <v>251</v>
      </c>
      <c r="H23" s="36" t="s">
        <v>247</v>
      </c>
      <c r="I23" s="37"/>
    </row>
    <row r="24" spans="1:9" ht="101.5" x14ac:dyDescent="0.35">
      <c r="A24" s="37">
        <v>25</v>
      </c>
      <c r="B24" s="38" t="s">
        <v>287</v>
      </c>
      <c r="C24" s="37" t="s">
        <v>287</v>
      </c>
      <c r="D24" s="38" t="s">
        <v>288</v>
      </c>
      <c r="E24" s="37" t="s">
        <v>273</v>
      </c>
      <c r="F24" s="37">
        <v>10103777</v>
      </c>
      <c r="G24" s="37" t="s">
        <v>289</v>
      </c>
      <c r="H24" s="37" t="s">
        <v>290</v>
      </c>
      <c r="I24" s="40" t="s">
        <v>291</v>
      </c>
    </row>
    <row r="25" spans="1:9" x14ac:dyDescent="0.35">
      <c r="A25" s="36">
        <v>26</v>
      </c>
      <c r="B25" s="36" t="s">
        <v>292</v>
      </c>
      <c r="C25" s="36" t="s">
        <v>293</v>
      </c>
      <c r="D25" s="36"/>
      <c r="E25" s="36" t="s">
        <v>245</v>
      </c>
      <c r="F25" s="45">
        <v>4500104018</v>
      </c>
      <c r="G25" s="36"/>
      <c r="H25" s="36" t="s">
        <v>247</v>
      </c>
      <c r="I25" s="37"/>
    </row>
    <row r="26" spans="1:9" x14ac:dyDescent="0.35">
      <c r="A26" s="36">
        <v>27</v>
      </c>
      <c r="B26" s="43" t="s">
        <v>294</v>
      </c>
      <c r="C26" s="36" t="s">
        <v>295</v>
      </c>
      <c r="D26" s="36" t="s">
        <v>296</v>
      </c>
      <c r="E26" s="36" t="s">
        <v>245</v>
      </c>
      <c r="F26" s="46">
        <v>4500104018</v>
      </c>
      <c r="G26" s="36" t="s">
        <v>297</v>
      </c>
      <c r="H26" s="36" t="s">
        <v>247</v>
      </c>
      <c r="I26" s="37" t="s">
        <v>298</v>
      </c>
    </row>
    <row r="27" spans="1:9" ht="145" x14ac:dyDescent="0.35">
      <c r="A27" s="37">
        <v>28</v>
      </c>
      <c r="B27" s="38" t="s">
        <v>299</v>
      </c>
      <c r="C27" s="38" t="s">
        <v>300</v>
      </c>
      <c r="D27" s="37" t="s">
        <v>301</v>
      </c>
      <c r="E27" s="37" t="s">
        <v>245</v>
      </c>
      <c r="F27" s="37">
        <v>4500104389</v>
      </c>
      <c r="G27" s="37" t="s">
        <v>302</v>
      </c>
      <c r="H27" s="37" t="s">
        <v>247</v>
      </c>
      <c r="I27" s="40" t="s">
        <v>303</v>
      </c>
    </row>
    <row r="28" spans="1:9" ht="145" x14ac:dyDescent="0.35">
      <c r="A28" s="37">
        <v>29</v>
      </c>
      <c r="B28" s="38" t="s">
        <v>304</v>
      </c>
      <c r="C28" s="37" t="s">
        <v>305</v>
      </c>
      <c r="D28" s="37" t="s">
        <v>306</v>
      </c>
      <c r="E28" s="37" t="s">
        <v>273</v>
      </c>
      <c r="G28" s="37" t="s">
        <v>307</v>
      </c>
      <c r="H28" s="37" t="s">
        <v>247</v>
      </c>
      <c r="I28" s="47" t="s">
        <v>308</v>
      </c>
    </row>
    <row r="29" spans="1:9" ht="58" x14ac:dyDescent="0.35">
      <c r="A29" s="37">
        <v>30</v>
      </c>
      <c r="B29" s="38" t="s">
        <v>309</v>
      </c>
      <c r="C29" s="37" t="s">
        <v>310</v>
      </c>
      <c r="D29" s="37" t="s">
        <v>311</v>
      </c>
      <c r="E29" s="37" t="s">
        <v>312</v>
      </c>
      <c r="G29" s="37" t="s">
        <v>268</v>
      </c>
      <c r="H29" s="38" t="s">
        <v>247</v>
      </c>
      <c r="I29" s="48" t="s">
        <v>313</v>
      </c>
    </row>
    <row r="30" spans="1:9" ht="101.5" x14ac:dyDescent="0.35">
      <c r="A30" s="37">
        <v>31</v>
      </c>
      <c r="B30" s="38" t="s">
        <v>314</v>
      </c>
      <c r="C30" s="37" t="s">
        <v>315</v>
      </c>
      <c r="D30" s="37" t="s">
        <v>316</v>
      </c>
      <c r="E30" s="37" t="s">
        <v>312</v>
      </c>
      <c r="G30" s="37" t="s">
        <v>317</v>
      </c>
      <c r="H30" s="36" t="s">
        <v>247</v>
      </c>
      <c r="I30" s="38" t="s">
        <v>318</v>
      </c>
    </row>
    <row r="31" spans="1:9" ht="116" x14ac:dyDescent="0.35">
      <c r="A31" s="37">
        <v>32</v>
      </c>
      <c r="B31" s="38" t="s">
        <v>319</v>
      </c>
      <c r="C31" s="37" t="s">
        <v>320</v>
      </c>
      <c r="D31" s="38" t="s">
        <v>321</v>
      </c>
      <c r="E31" s="37" t="s">
        <v>245</v>
      </c>
      <c r="F31" s="37">
        <v>4500104444</v>
      </c>
      <c r="G31" s="37" t="s">
        <v>322</v>
      </c>
      <c r="H31" s="37" t="s">
        <v>263</v>
      </c>
      <c r="I31" s="49" t="s">
        <v>323</v>
      </c>
    </row>
    <row r="32" spans="1:9" ht="174" x14ac:dyDescent="0.35">
      <c r="A32" s="37">
        <v>33</v>
      </c>
      <c r="B32" s="38" t="s">
        <v>324</v>
      </c>
      <c r="C32" s="38" t="s">
        <v>324</v>
      </c>
      <c r="D32" s="38" t="s">
        <v>325</v>
      </c>
      <c r="E32" s="37" t="s">
        <v>326</v>
      </c>
      <c r="F32" s="37" t="s">
        <v>327</v>
      </c>
      <c r="G32" s="37" t="s">
        <v>322</v>
      </c>
      <c r="H32" s="37" t="s">
        <v>263</v>
      </c>
      <c r="I32" s="50" t="s">
        <v>328</v>
      </c>
    </row>
    <row r="33" spans="1:9" ht="116" x14ac:dyDescent="0.35">
      <c r="A33" s="37">
        <v>34</v>
      </c>
      <c r="B33" s="38" t="s">
        <v>329</v>
      </c>
      <c r="C33" s="38" t="s">
        <v>329</v>
      </c>
      <c r="D33" s="37" t="s">
        <v>330</v>
      </c>
      <c r="E33" s="37" t="s">
        <v>245</v>
      </c>
      <c r="F33" s="37">
        <v>4500104445</v>
      </c>
      <c r="G33" s="37" t="s">
        <v>297</v>
      </c>
      <c r="H33" s="37" t="s">
        <v>247</v>
      </c>
      <c r="I33" s="40" t="s">
        <v>331</v>
      </c>
    </row>
    <row r="34" spans="1:9" ht="116" x14ac:dyDescent="0.35">
      <c r="A34" s="37">
        <v>35</v>
      </c>
      <c r="B34" s="38" t="s">
        <v>332</v>
      </c>
      <c r="C34" s="38" t="s">
        <v>332</v>
      </c>
      <c r="D34" s="38" t="s">
        <v>332</v>
      </c>
      <c r="E34" s="37" t="s">
        <v>245</v>
      </c>
      <c r="F34" s="37" t="s">
        <v>333</v>
      </c>
      <c r="G34" s="37" t="s">
        <v>322</v>
      </c>
      <c r="H34" s="37" t="s">
        <v>263</v>
      </c>
      <c r="I34" s="49" t="s">
        <v>334</v>
      </c>
    </row>
    <row r="35" spans="1:9" ht="188.5" x14ac:dyDescent="0.35">
      <c r="A35" s="38">
        <v>36</v>
      </c>
      <c r="B35" s="38" t="s">
        <v>335</v>
      </c>
      <c r="C35" s="38" t="s">
        <v>335</v>
      </c>
      <c r="D35" s="38" t="s">
        <v>336</v>
      </c>
      <c r="E35" s="38" t="s">
        <v>245</v>
      </c>
      <c r="F35" s="38" t="s">
        <v>337</v>
      </c>
      <c r="G35" s="38" t="s">
        <v>297</v>
      </c>
      <c r="H35" s="38" t="s">
        <v>247</v>
      </c>
      <c r="I35" s="49" t="s">
        <v>338</v>
      </c>
    </row>
    <row r="36" spans="1:9" ht="145" x14ac:dyDescent="0.35">
      <c r="A36" s="37">
        <v>37</v>
      </c>
      <c r="B36" s="38" t="s">
        <v>339</v>
      </c>
      <c r="C36" s="37" t="s">
        <v>340</v>
      </c>
      <c r="E36" s="37" t="s">
        <v>245</v>
      </c>
      <c r="G36" s="37" t="s">
        <v>322</v>
      </c>
      <c r="H36" s="37" t="s">
        <v>263</v>
      </c>
      <c r="I36" s="40" t="s">
        <v>341</v>
      </c>
    </row>
    <row r="37" spans="1:9" ht="43.5" x14ac:dyDescent="0.35">
      <c r="A37" s="36">
        <v>38</v>
      </c>
      <c r="B37" s="43" t="s">
        <v>287</v>
      </c>
      <c r="C37" s="36" t="s">
        <v>342</v>
      </c>
      <c r="D37" s="36"/>
      <c r="E37" s="36"/>
      <c r="F37" s="36"/>
      <c r="G37" s="36" t="s">
        <v>289</v>
      </c>
      <c r="H37" s="36" t="s">
        <v>247</v>
      </c>
      <c r="I37" s="43" t="s">
        <v>343</v>
      </c>
    </row>
    <row r="38" spans="1:9" ht="43.5" x14ac:dyDescent="0.35">
      <c r="A38" s="37">
        <v>39</v>
      </c>
      <c r="B38" s="38" t="s">
        <v>344</v>
      </c>
      <c r="C38" s="38" t="s">
        <v>345</v>
      </c>
      <c r="G38" s="37" t="s">
        <v>346</v>
      </c>
      <c r="H38" s="37" t="s">
        <v>247</v>
      </c>
      <c r="I38" s="38" t="s">
        <v>347</v>
      </c>
    </row>
    <row r="39" spans="1:9" x14ac:dyDescent="0.35">
      <c r="A39" s="37">
        <v>38</v>
      </c>
      <c r="B39" s="38" t="s">
        <v>324</v>
      </c>
      <c r="C39" s="37" t="s">
        <v>324</v>
      </c>
      <c r="D39" s="37" t="s">
        <v>348</v>
      </c>
      <c r="E39" s="37" t="s">
        <v>349</v>
      </c>
      <c r="F39">
        <v>4500105160</v>
      </c>
      <c r="G39" s="37" t="s">
        <v>350</v>
      </c>
      <c r="H39" s="37" t="s">
        <v>247</v>
      </c>
      <c r="I39" s="38" t="s">
        <v>351</v>
      </c>
    </row>
    <row r="40" spans="1:9" ht="29" x14ac:dyDescent="0.35">
      <c r="A40" s="37">
        <v>39</v>
      </c>
      <c r="B40" s="37" t="s">
        <v>352</v>
      </c>
      <c r="C40" s="38" t="s">
        <v>353</v>
      </c>
      <c r="D40" s="37" t="s">
        <v>354</v>
      </c>
      <c r="E40" s="37" t="s">
        <v>245</v>
      </c>
      <c r="F40" s="51" t="s">
        <v>355</v>
      </c>
      <c r="G40" s="37" t="s">
        <v>251</v>
      </c>
      <c r="H40" s="37" t="s">
        <v>247</v>
      </c>
    </row>
    <row r="41" spans="1:9" ht="43.5" x14ac:dyDescent="0.35">
      <c r="A41" s="37">
        <v>40</v>
      </c>
      <c r="B41" s="38" t="s">
        <v>356</v>
      </c>
      <c r="C41" s="37" t="s">
        <v>357</v>
      </c>
      <c r="D41" s="37" t="s">
        <v>358</v>
      </c>
      <c r="E41" s="37" t="s">
        <v>245</v>
      </c>
      <c r="F41">
        <v>4500105160</v>
      </c>
      <c r="G41" s="37" t="s">
        <v>350</v>
      </c>
      <c r="H41" s="37" t="s">
        <v>247</v>
      </c>
      <c r="I41" s="38" t="s">
        <v>359</v>
      </c>
    </row>
    <row r="42" spans="1:9" ht="72.5" x14ac:dyDescent="0.35">
      <c r="A42" s="37">
        <v>41</v>
      </c>
      <c r="B42" s="38" t="s">
        <v>360</v>
      </c>
      <c r="C42" s="38" t="s">
        <v>361</v>
      </c>
      <c r="D42" s="38" t="s">
        <v>362</v>
      </c>
      <c r="F42" s="37">
        <v>10105124</v>
      </c>
      <c r="G42" s="37" t="s">
        <v>363</v>
      </c>
      <c r="H42" s="37" t="s">
        <v>247</v>
      </c>
      <c r="I42" s="38" t="s">
        <v>364</v>
      </c>
    </row>
    <row r="43" spans="1:9" x14ac:dyDescent="0.35">
      <c r="C43" s="38"/>
      <c r="D43" s="38"/>
      <c r="G43" s="52"/>
    </row>
    <row r="44" spans="1:9" x14ac:dyDescent="0.35">
      <c r="C44" s="38"/>
    </row>
    <row r="45" spans="1:9" x14ac:dyDescent="0.35">
      <c r="C45" s="3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41E7-692E-4342-8A9A-0F456DC1C1ED}">
  <dimension ref="A1"/>
  <sheetViews>
    <sheetView zoomScale="70" zoomScaleNormal="70" workbookViewId="0">
      <selection activeCell="AE23" sqref="AE23"/>
    </sheetView>
  </sheetViews>
  <sheetFormatPr defaultRowHeight="14.5" x14ac:dyDescent="0.3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A6CF7-EFD5-4C59-B9FA-978599902331}">
  <dimension ref="A1"/>
  <sheetViews>
    <sheetView workbookViewId="0">
      <selection activeCell="F23" sqref="F23"/>
    </sheetView>
  </sheetViews>
  <sheetFormatPr defaultRowHeight="14.5" x14ac:dyDescent="0.3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E7B97-DA8A-45D9-AFBD-4BF574228492}">
  <dimension ref="A1"/>
  <sheetViews>
    <sheetView workbookViewId="0">
      <selection activeCell="Q35" sqref="Q35"/>
    </sheetView>
  </sheetViews>
  <sheetFormatPr defaultRowHeight="14.5" x14ac:dyDescent="0.3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68353-8DE6-4BFA-A2ED-E7A7B8CFFC70}">
  <dimension ref="A1:C16"/>
  <sheetViews>
    <sheetView workbookViewId="0">
      <selection activeCell="N35" sqref="N35"/>
    </sheetView>
  </sheetViews>
  <sheetFormatPr defaultRowHeight="14.5" x14ac:dyDescent="0.35"/>
  <cols>
    <col min="1" max="1" width="19.7265625" bestFit="1" customWidth="1"/>
    <col min="2" max="2" width="28.1796875" bestFit="1" customWidth="1"/>
    <col min="3" max="3" width="76.7265625" bestFit="1" customWidth="1"/>
  </cols>
  <sheetData>
    <row r="1" spans="1:3" x14ac:dyDescent="0.35">
      <c r="B1" s="130"/>
      <c r="C1" s="130"/>
    </row>
    <row r="2" spans="1:3" x14ac:dyDescent="0.35">
      <c r="A2" t="s">
        <v>568</v>
      </c>
      <c r="B2" t="s">
        <v>118</v>
      </c>
      <c r="C2" t="s">
        <v>173</v>
      </c>
    </row>
    <row r="3" spans="1:3" x14ac:dyDescent="0.35">
      <c r="B3" t="s">
        <v>569</v>
      </c>
      <c r="C3" t="s">
        <v>570</v>
      </c>
    </row>
    <row r="4" spans="1:3" x14ac:dyDescent="0.35">
      <c r="B4" t="s">
        <v>571</v>
      </c>
      <c r="C4" t="s">
        <v>572</v>
      </c>
    </row>
    <row r="5" spans="1:3" x14ac:dyDescent="0.35">
      <c r="B5" t="s">
        <v>573</v>
      </c>
      <c r="C5" t="s">
        <v>574</v>
      </c>
    </row>
    <row r="6" spans="1:3" x14ac:dyDescent="0.35">
      <c r="B6" t="s">
        <v>575</v>
      </c>
      <c r="C6" t="s">
        <v>576</v>
      </c>
    </row>
    <row r="7" spans="1:3" x14ac:dyDescent="0.35">
      <c r="B7" t="s">
        <v>577</v>
      </c>
      <c r="C7" t="s">
        <v>578</v>
      </c>
    </row>
    <row r="8" spans="1:3" x14ac:dyDescent="0.35">
      <c r="A8" t="s">
        <v>579</v>
      </c>
      <c r="B8" t="s">
        <v>580</v>
      </c>
      <c r="C8" t="s">
        <v>591</v>
      </c>
    </row>
    <row r="9" spans="1:3" x14ac:dyDescent="0.35">
      <c r="C9" t="s">
        <v>595</v>
      </c>
    </row>
    <row r="10" spans="1:3" x14ac:dyDescent="0.35">
      <c r="C10" t="s">
        <v>592</v>
      </c>
    </row>
    <row r="11" spans="1:3" x14ac:dyDescent="0.35">
      <c r="B11" t="s">
        <v>581</v>
      </c>
      <c r="C11" t="s">
        <v>593</v>
      </c>
    </row>
    <row r="12" spans="1:3" x14ac:dyDescent="0.35">
      <c r="C12" t="s">
        <v>594</v>
      </c>
    </row>
    <row r="13" spans="1:3" x14ac:dyDescent="0.35">
      <c r="A13" t="s">
        <v>582</v>
      </c>
      <c r="B13" t="s">
        <v>583</v>
      </c>
      <c r="C13" t="s">
        <v>587</v>
      </c>
    </row>
    <row r="14" spans="1:3" x14ac:dyDescent="0.35">
      <c r="B14" t="s">
        <v>584</v>
      </c>
      <c r="C14" t="s">
        <v>588</v>
      </c>
    </row>
    <row r="15" spans="1:3" x14ac:dyDescent="0.35">
      <c r="B15" t="s">
        <v>585</v>
      </c>
      <c r="C15" t="s">
        <v>589</v>
      </c>
    </row>
    <row r="16" spans="1:3" x14ac:dyDescent="0.35">
      <c r="B16" t="s">
        <v>586</v>
      </c>
      <c r="C16" t="s">
        <v>590</v>
      </c>
    </row>
  </sheetData>
  <mergeCells count="1">
    <mergeCell ref="B1:C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05BA6-F1B7-4CF3-907D-0646FABD9A99}">
  <dimension ref="A1:C21"/>
  <sheetViews>
    <sheetView workbookViewId="0">
      <selection activeCell="F4" sqref="F4"/>
    </sheetView>
  </sheetViews>
  <sheetFormatPr defaultRowHeight="14.5" x14ac:dyDescent="0.35"/>
  <cols>
    <col min="1" max="1" width="76.54296875" customWidth="1"/>
    <col min="2" max="2" width="69" customWidth="1"/>
    <col min="3" max="3" width="67.26953125" customWidth="1"/>
  </cols>
  <sheetData>
    <row r="1" spans="1:3" ht="37" x14ac:dyDescent="0.85">
      <c r="A1" s="84" t="s">
        <v>813</v>
      </c>
      <c r="B1" s="84" t="s">
        <v>806</v>
      </c>
      <c r="C1" s="84" t="s">
        <v>824</v>
      </c>
    </row>
    <row r="2" spans="1:3" ht="37" x14ac:dyDescent="0.85">
      <c r="A2" s="81" t="s">
        <v>804</v>
      </c>
      <c r="B2" s="85">
        <v>3003</v>
      </c>
      <c r="C2" s="82">
        <v>3003</v>
      </c>
    </row>
    <row r="3" spans="1:3" ht="37" x14ac:dyDescent="0.85">
      <c r="A3" s="81" t="s">
        <v>807</v>
      </c>
      <c r="B3" s="85" t="s">
        <v>14</v>
      </c>
      <c r="C3" s="82" t="s">
        <v>14</v>
      </c>
    </row>
    <row r="4" spans="1:3" ht="37" x14ac:dyDescent="0.85">
      <c r="A4" s="81" t="s">
        <v>808</v>
      </c>
      <c r="B4" s="85" t="s">
        <v>809</v>
      </c>
      <c r="C4" s="82" t="s">
        <v>14</v>
      </c>
    </row>
    <row r="5" spans="1:3" ht="37" x14ac:dyDescent="0.85">
      <c r="A5" s="81" t="s">
        <v>821</v>
      </c>
      <c r="B5" s="85" t="s">
        <v>810</v>
      </c>
      <c r="C5" s="82" t="s">
        <v>589</v>
      </c>
    </row>
    <row r="6" spans="1:3" ht="37" x14ac:dyDescent="0.85">
      <c r="A6" s="81" t="s">
        <v>820</v>
      </c>
      <c r="B6" s="85" t="s">
        <v>810</v>
      </c>
      <c r="C6" s="82" t="s">
        <v>590</v>
      </c>
    </row>
    <row r="7" spans="1:3" ht="37" x14ac:dyDescent="0.85">
      <c r="A7" s="81" t="s">
        <v>827</v>
      </c>
      <c r="B7" s="85" t="s">
        <v>829</v>
      </c>
      <c r="C7" s="82" t="s">
        <v>828</v>
      </c>
    </row>
    <row r="8" spans="1:3" ht="37" x14ac:dyDescent="0.85">
      <c r="A8" s="81" t="s">
        <v>823</v>
      </c>
      <c r="B8" s="85" t="s">
        <v>811</v>
      </c>
      <c r="C8" s="82" t="s">
        <v>812</v>
      </c>
    </row>
    <row r="9" spans="1:3" ht="37" x14ac:dyDescent="0.85">
      <c r="A9" s="81" t="s">
        <v>814</v>
      </c>
      <c r="B9" s="85">
        <v>507</v>
      </c>
      <c r="C9" s="82" t="s">
        <v>825</v>
      </c>
    </row>
    <row r="10" spans="1:3" ht="37" x14ac:dyDescent="0.85">
      <c r="A10" s="81" t="s">
        <v>815</v>
      </c>
      <c r="B10" s="82" t="s">
        <v>816</v>
      </c>
      <c r="C10" s="82" t="s">
        <v>817</v>
      </c>
    </row>
    <row r="11" spans="1:3" ht="37" hidden="1" x14ac:dyDescent="0.85">
      <c r="A11" s="81" t="s">
        <v>819</v>
      </c>
      <c r="B11" s="82" t="s">
        <v>818</v>
      </c>
      <c r="C11" s="82"/>
    </row>
    <row r="12" spans="1:3" ht="37" x14ac:dyDescent="0.85">
      <c r="A12" s="81" t="s">
        <v>826</v>
      </c>
      <c r="B12" s="82" t="s">
        <v>805</v>
      </c>
      <c r="C12" s="82" t="s">
        <v>822</v>
      </c>
    </row>
    <row r="13" spans="1:3" ht="37" x14ac:dyDescent="0.85">
      <c r="A13" s="81" t="s">
        <v>830</v>
      </c>
      <c r="B13" s="81" t="s">
        <v>805</v>
      </c>
      <c r="C13" s="82" t="s">
        <v>831</v>
      </c>
    </row>
    <row r="14" spans="1:3" ht="37" x14ac:dyDescent="0.85">
      <c r="A14" s="81"/>
      <c r="B14" s="81"/>
      <c r="C14" s="82"/>
    </row>
    <row r="15" spans="1:3" ht="37" x14ac:dyDescent="0.85">
      <c r="A15" s="81"/>
      <c r="B15" s="81"/>
      <c r="C15" s="81"/>
    </row>
    <row r="16" spans="1:3" ht="37" x14ac:dyDescent="0.85">
      <c r="A16" s="81"/>
      <c r="B16" s="81"/>
      <c r="C16" s="81"/>
    </row>
    <row r="17" spans="1:3" ht="37" x14ac:dyDescent="0.85">
      <c r="A17" s="81"/>
      <c r="B17" s="81"/>
      <c r="C17" s="81"/>
    </row>
    <row r="18" spans="1:3" ht="37" x14ac:dyDescent="0.85">
      <c r="A18" s="81"/>
      <c r="B18" s="81"/>
      <c r="C18" s="81"/>
    </row>
    <row r="19" spans="1:3" ht="37" x14ac:dyDescent="0.85">
      <c r="A19" s="81"/>
      <c r="B19" s="81"/>
      <c r="C19" s="81"/>
    </row>
    <row r="20" spans="1:3" ht="37" x14ac:dyDescent="0.85">
      <c r="A20" s="81"/>
      <c r="B20" s="81"/>
      <c r="C20" s="81"/>
    </row>
    <row r="21" spans="1:3" ht="37" x14ac:dyDescent="0.85">
      <c r="A21" s="83"/>
      <c r="B21" s="83"/>
      <c r="C21" s="83"/>
    </row>
  </sheetData>
  <pageMargins left="0.7" right="0.7" top="0.75" bottom="0.75" header="0.3" footer="0.3"/>
</worksheet>
</file>

<file path=docMetadata/LabelInfo.xml><?xml version="1.0" encoding="utf-8"?>
<clbl:labelList xmlns:clbl="http://schemas.microsoft.com/office/2020/mipLabelMetadata">
  <clbl:label id="{9d258917-277f-42cd-a3cd-14c4e9ee58bc}"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Org Structure</vt:lpstr>
      <vt:lpstr>Rollout Activities </vt:lpstr>
      <vt:lpstr>RO Activities </vt:lpstr>
      <vt:lpstr>Sheet3</vt:lpstr>
      <vt:lpstr>Sheet5</vt:lpstr>
      <vt:lpstr>P.Groups</vt:lpstr>
      <vt:lpstr>GTS</vt:lpstr>
      <vt:lpstr>Features List</vt:lpstr>
      <vt:lpstr>Sheet7</vt:lpstr>
      <vt:lpstr>Process</vt:lpstr>
      <vt:lpstr>SRE Process Steps</vt:lpstr>
      <vt:lpstr>BTP Alignment</vt:lpstr>
      <vt:lpstr>Sheet1</vt:lpstr>
      <vt:lpstr>Sheet2</vt:lpstr>
      <vt:lpstr>Test Users</vt:lpstr>
      <vt:lpstr>Go-Live Data</vt:lpstr>
      <vt:lpstr>Technical Info</vt:lpstr>
      <vt:lpstr>PO Migration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Gautam, Ajit (IT ECP PLG P)</dc:creator>
  <cp:lastModifiedBy>Gautam, Ajit (IT ECP PLG P)</cp:lastModifiedBy>
  <dcterms:created xsi:type="dcterms:W3CDTF">2024-11-22T15:35:40Z</dcterms:created>
  <dcterms:modified xsi:type="dcterms:W3CDTF">2025-05-06T16:10:17Z</dcterms:modified>
</cp:coreProperties>
</file>